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개인문서\테이블,컬럼정의서 Excel sheet\예시\"/>
    </mc:Choice>
  </mc:AlternateContent>
  <bookViews>
    <workbookView xWindow="0" yWindow="0" windowWidth="28800" windowHeight="13440"/>
  </bookViews>
  <sheets>
    <sheet name="표지" sheetId="1" r:id="rId1"/>
    <sheet name="문서 개정이력" sheetId="2" r:id="rId2"/>
    <sheet name="컬럼정의서" sheetId="3" r:id="rId3"/>
    <sheet name="별첨.표준화지침" sheetId="13" r:id="rId4"/>
    <sheet name="기능요구사항 (2)" sheetId="5" state="hidden" r:id="rId5"/>
    <sheet name="OpenAPI" sheetId="6" state="hidden" r:id="rId6"/>
    <sheet name="외부연계" sheetId="7" state="hidden" r:id="rId7"/>
    <sheet name="온나라연계" sheetId="8" state="hidden" r:id="rId8"/>
    <sheet name="엑셀업로드" sheetId="9" state="hidden" r:id="rId9"/>
    <sheet name="연계대상(OpenAPI)" sheetId="10" state="hidden" r:id="rId10"/>
    <sheet name="입력시기(시행령)" sheetId="11" state="hidden" r:id="rId11"/>
    <sheet name="1.기능요구사항 (2)" sheetId="12" state="hidden" r:id="rId12"/>
  </sheets>
  <externalReferences>
    <externalReference r:id="rId13"/>
  </externalReferences>
  <definedNames>
    <definedName name="_xlnm._FilterDatabase" localSheetId="11" hidden="1">'1.기능요구사항 (2)'!$A$1:$T$377</definedName>
    <definedName name="_xlnm._FilterDatabase" localSheetId="5" hidden="1">OpenAPI!$A$1:$T$14</definedName>
    <definedName name="_xlnm._FilterDatabase" localSheetId="4" hidden="1">'기능요구사항 (2)'!$A$1:$D$377</definedName>
    <definedName name="_xlnm._FilterDatabase" localSheetId="8" hidden="1">엑셀업로드!$A$1:$S$73</definedName>
    <definedName name="_xlnm._FilterDatabase" localSheetId="7" hidden="1">온나라연계!$A$1:$T$17</definedName>
    <definedName name="_xlnm._FilterDatabase" localSheetId="6" hidden="1">외부연계!$A$1:$S$27</definedName>
    <definedName name="_xlnm._FilterDatabase" localSheetId="2" hidden="1">컬럼정의서!$A$1:$Q$1</definedName>
    <definedName name="_xlnm._FilterDatabase" hidden="1">#REF!</definedName>
    <definedName name="ACTUAL_RATE">[1]Progress!$B$21</definedName>
    <definedName name="PLANNED_RATE">[1]Progress!$B$18</definedName>
    <definedName name="_xlnm.Print_Area" localSheetId="5">#REF!</definedName>
    <definedName name="_xlnm.Print_Area" localSheetId="4">#REF!</definedName>
    <definedName name="_xlnm.Print_Area" localSheetId="8">#REF!</definedName>
    <definedName name="_xlnm.Print_Area" localSheetId="7">#REF!</definedName>
    <definedName name="_xlnm.Print_Area" localSheetId="6">#REF!</definedName>
    <definedName name="_xlnm.Print_Area">#REF!</definedName>
    <definedName name="_xlnm.Print_Titles" localSheetId="5">#REF!</definedName>
    <definedName name="_xlnm.Print_Titles" localSheetId="4">#REF!</definedName>
    <definedName name="_xlnm.Print_Titles" localSheetId="8">#REF!</definedName>
    <definedName name="_xlnm.Print_Titles" localSheetId="7">#REF!</definedName>
    <definedName name="_xlnm.Print_Titles" localSheetId="6">#REF!</definedName>
    <definedName name="_xlnm.Print_Titles">#REF!</definedName>
    <definedName name="T01_컬럼정보_Query" localSheetId="5">#REF!</definedName>
    <definedName name="T01_컬럼정보_Query" localSheetId="4">#REF!</definedName>
    <definedName name="T01_컬럼정보_Query" localSheetId="8">#REF!</definedName>
    <definedName name="T01_컬럼정보_Query" localSheetId="7">#REF!</definedName>
    <definedName name="T01_컬럼정보_Query" localSheetId="6">#REF!</definedName>
    <definedName name="T01_컬럼정보_Query">#REF!</definedName>
    <definedName name="Z_07B00AB7_4E28_4F6C_93F2_8BBEA09A745F_.wvu.Cols" localSheetId="5" hidden="1">#REF!</definedName>
    <definedName name="Z_07B00AB7_4E28_4F6C_93F2_8BBEA09A745F_.wvu.Cols" localSheetId="4" hidden="1">#REF!</definedName>
    <definedName name="Z_07B00AB7_4E28_4F6C_93F2_8BBEA09A745F_.wvu.Cols" localSheetId="8" hidden="1">#REF!</definedName>
    <definedName name="Z_07B00AB7_4E28_4F6C_93F2_8BBEA09A745F_.wvu.Cols" localSheetId="7" hidden="1">#REF!</definedName>
    <definedName name="Z_07B00AB7_4E28_4F6C_93F2_8BBEA09A745F_.wvu.Cols" localSheetId="6" hidden="1">#REF!</definedName>
    <definedName name="Z_07B00AB7_4E28_4F6C_93F2_8BBEA09A745F_.wvu.Cols" hidden="1">#REF!</definedName>
    <definedName name="Z_07B00AB7_4E28_4F6C_93F2_8BBEA09A745F_.wvu.FilterData" localSheetId="5" hidden="1">#REF!</definedName>
    <definedName name="Z_07B00AB7_4E28_4F6C_93F2_8BBEA09A745F_.wvu.FilterData" localSheetId="4" hidden="1">#REF!</definedName>
    <definedName name="Z_07B00AB7_4E28_4F6C_93F2_8BBEA09A745F_.wvu.FilterData" localSheetId="8" hidden="1">#REF!</definedName>
    <definedName name="Z_07B00AB7_4E28_4F6C_93F2_8BBEA09A745F_.wvu.FilterData" localSheetId="7" hidden="1">#REF!</definedName>
    <definedName name="Z_07B00AB7_4E28_4F6C_93F2_8BBEA09A745F_.wvu.FilterData" localSheetId="6" hidden="1">#REF!</definedName>
    <definedName name="Z_07B00AB7_4E28_4F6C_93F2_8BBEA09A745F_.wvu.FilterData" hidden="1">#REF!</definedName>
    <definedName name="Z_2940EC69_0E40_4162_8549_ED35AA338A49_.wvu.Cols" localSheetId="11" hidden="1">'1.기능요구사항 (2)'!$D:$D,'1.기능요구사항 (2)'!$R:$T</definedName>
    <definedName name="Z_2940EC69_0E40_4162_8549_ED35AA338A49_.wvu.Cols" localSheetId="5" hidden="1">OpenAPI!$D:$D,OpenAPI!$R:$T</definedName>
    <definedName name="Z_2940EC69_0E40_4162_8549_ED35AA338A49_.wvu.Cols" localSheetId="8" hidden="1">엑셀업로드!$D:$D,엑셀업로드!$Q:$S</definedName>
    <definedName name="Z_2940EC69_0E40_4162_8549_ED35AA338A49_.wvu.Cols" localSheetId="7" hidden="1">온나라연계!$D:$D,온나라연계!$R:$T</definedName>
    <definedName name="Z_2940EC69_0E40_4162_8549_ED35AA338A49_.wvu.Cols" localSheetId="6" hidden="1">외부연계!$D:$D,외부연계!$Q:$S</definedName>
    <definedName name="Z_2940EC69_0E40_4162_8549_ED35AA338A49_.wvu.FilterData" localSheetId="11" hidden="1">'1.기능요구사항 (2)'!$A$1:$T$377</definedName>
    <definedName name="Z_2940EC69_0E40_4162_8549_ED35AA338A49_.wvu.FilterData" localSheetId="5" hidden="1">OpenAPI!$A$1:$T$14</definedName>
    <definedName name="Z_2940EC69_0E40_4162_8549_ED35AA338A49_.wvu.FilterData" localSheetId="4" hidden="1">'기능요구사항 (2)'!$A$1:$D$377</definedName>
    <definedName name="Z_2940EC69_0E40_4162_8549_ED35AA338A49_.wvu.FilterData" localSheetId="8" hidden="1">엑셀업로드!$A$1:$S$73</definedName>
    <definedName name="Z_2940EC69_0E40_4162_8549_ED35AA338A49_.wvu.FilterData" localSheetId="7" hidden="1">온나라연계!$A$1:$T$17</definedName>
    <definedName name="Z_2940EC69_0E40_4162_8549_ED35AA338A49_.wvu.FilterData" localSheetId="6" hidden="1">외부연계!$A$1:$S$27</definedName>
    <definedName name="Z_2940EC69_0E40_4162_8549_ED35AA338A49_.wvu.FilterData" localSheetId="2" hidden="1">컬럼정의서!$A$1:$Q$1</definedName>
    <definedName name="Z_2A8CFD2D_F9CC_4306_8A26_A82C68617360_.wvu.Cols" localSheetId="11" hidden="1">'1.기능요구사항 (2)'!$D:$D,'1.기능요구사항 (2)'!$R:$T</definedName>
    <definedName name="Z_2A8CFD2D_F9CC_4306_8A26_A82C68617360_.wvu.Cols" localSheetId="5" hidden="1">OpenAPI!$D:$D,OpenAPI!$R:$T</definedName>
    <definedName name="Z_2A8CFD2D_F9CC_4306_8A26_A82C68617360_.wvu.Cols" localSheetId="8" hidden="1">엑셀업로드!$D:$D,엑셀업로드!$Q:$S</definedName>
    <definedName name="Z_2A8CFD2D_F9CC_4306_8A26_A82C68617360_.wvu.Cols" localSheetId="7" hidden="1">온나라연계!$D:$D,온나라연계!$R:$T</definedName>
    <definedName name="Z_2A8CFD2D_F9CC_4306_8A26_A82C68617360_.wvu.Cols" localSheetId="6" hidden="1">외부연계!$D:$D,외부연계!$Q:$S</definedName>
    <definedName name="Z_2A8CFD2D_F9CC_4306_8A26_A82C68617360_.wvu.FilterData" localSheetId="11" hidden="1">'1.기능요구사항 (2)'!$A$1:$T$377</definedName>
    <definedName name="Z_2A8CFD2D_F9CC_4306_8A26_A82C68617360_.wvu.FilterData" localSheetId="5" hidden="1">OpenAPI!$A$1:$T$14</definedName>
    <definedName name="Z_2A8CFD2D_F9CC_4306_8A26_A82C68617360_.wvu.FilterData" localSheetId="4" hidden="1">'기능요구사항 (2)'!$A$1:$D$377</definedName>
    <definedName name="Z_2A8CFD2D_F9CC_4306_8A26_A82C68617360_.wvu.FilterData" localSheetId="8" hidden="1">엑셀업로드!$A$1:$S$73</definedName>
    <definedName name="Z_2A8CFD2D_F9CC_4306_8A26_A82C68617360_.wvu.FilterData" localSheetId="7" hidden="1">온나라연계!$A$1:$T$17</definedName>
    <definedName name="Z_2A8CFD2D_F9CC_4306_8A26_A82C68617360_.wvu.FilterData" localSheetId="6" hidden="1">외부연계!$A$1:$S$27</definedName>
    <definedName name="Z_2A8CFD2D_F9CC_4306_8A26_A82C68617360_.wvu.FilterData" localSheetId="2" hidden="1">컬럼정의서!$A$1:$Q$1</definedName>
    <definedName name="Z_2E21E9AB_F6D7_45E8_BCE1_396A459BE6C9_.wvu.Cols" localSheetId="5" hidden="1">#REF!</definedName>
    <definedName name="Z_2E21E9AB_F6D7_45E8_BCE1_396A459BE6C9_.wvu.Cols" localSheetId="4" hidden="1">#REF!</definedName>
    <definedName name="Z_2E21E9AB_F6D7_45E8_BCE1_396A459BE6C9_.wvu.Cols" localSheetId="8" hidden="1">#REF!</definedName>
    <definedName name="Z_2E21E9AB_F6D7_45E8_BCE1_396A459BE6C9_.wvu.Cols" localSheetId="7" hidden="1">#REF!</definedName>
    <definedName name="Z_2E21E9AB_F6D7_45E8_BCE1_396A459BE6C9_.wvu.Cols" localSheetId="6" hidden="1">#REF!</definedName>
    <definedName name="Z_2E21E9AB_F6D7_45E8_BCE1_396A459BE6C9_.wvu.Cols" hidden="1">#REF!</definedName>
    <definedName name="Z_2E21E9AB_F6D7_45E8_BCE1_396A459BE6C9_.wvu.FilterData" localSheetId="5" hidden="1">#REF!</definedName>
    <definedName name="Z_2E21E9AB_F6D7_45E8_BCE1_396A459BE6C9_.wvu.FilterData" localSheetId="4" hidden="1">#REF!</definedName>
    <definedName name="Z_2E21E9AB_F6D7_45E8_BCE1_396A459BE6C9_.wvu.FilterData" localSheetId="8" hidden="1">#REF!</definedName>
    <definedName name="Z_2E21E9AB_F6D7_45E8_BCE1_396A459BE6C9_.wvu.FilterData" localSheetId="7" hidden="1">#REF!</definedName>
    <definedName name="Z_2E21E9AB_F6D7_45E8_BCE1_396A459BE6C9_.wvu.FilterData" localSheetId="6" hidden="1">#REF!</definedName>
    <definedName name="Z_2E21E9AB_F6D7_45E8_BCE1_396A459BE6C9_.wvu.FilterData" hidden="1">#REF!</definedName>
    <definedName name="Z_420D201A_39D4_4D4C_B006_492BB150C79B_.wvu.Cols" localSheetId="11" hidden="1">'1.기능요구사항 (2)'!$D:$D,'1.기능요구사항 (2)'!$R:$T</definedName>
    <definedName name="Z_420D201A_39D4_4D4C_B006_492BB150C79B_.wvu.Cols" localSheetId="5" hidden="1">OpenAPI!$D:$D,OpenAPI!$R:$T</definedName>
    <definedName name="Z_420D201A_39D4_4D4C_B006_492BB150C79B_.wvu.Cols" localSheetId="4" hidden="1">'기능요구사항 (2)'!#REF!,'기능요구사항 (2)'!#REF!</definedName>
    <definedName name="Z_420D201A_39D4_4D4C_B006_492BB150C79B_.wvu.Cols" localSheetId="8" hidden="1">엑셀업로드!$D:$D,엑셀업로드!$Q:$S</definedName>
    <definedName name="Z_420D201A_39D4_4D4C_B006_492BB150C79B_.wvu.Cols" localSheetId="7" hidden="1">온나라연계!$D:$D,온나라연계!$R:$T</definedName>
    <definedName name="Z_420D201A_39D4_4D4C_B006_492BB150C79B_.wvu.Cols" localSheetId="6" hidden="1">외부연계!$D:$D,외부연계!$Q:$S</definedName>
    <definedName name="Z_420D201A_39D4_4D4C_B006_492BB150C79B_.wvu.Cols" localSheetId="2" hidden="1">컬럼정의서!#REF!,컬럼정의서!#REF!</definedName>
    <definedName name="Z_420D201A_39D4_4D4C_B006_492BB150C79B_.wvu.FilterData" localSheetId="11" hidden="1">'1.기능요구사항 (2)'!$A$1:$T$377</definedName>
    <definedName name="Z_420D201A_39D4_4D4C_B006_492BB150C79B_.wvu.FilterData" localSheetId="5" hidden="1">OpenAPI!$A$1:$T$14</definedName>
    <definedName name="Z_420D201A_39D4_4D4C_B006_492BB150C79B_.wvu.FilterData" localSheetId="4" hidden="1">'기능요구사항 (2)'!$A$1:$D$377</definedName>
    <definedName name="Z_420D201A_39D4_4D4C_B006_492BB150C79B_.wvu.FilterData" localSheetId="8" hidden="1">엑셀업로드!$A$1:$S$73</definedName>
    <definedName name="Z_420D201A_39D4_4D4C_B006_492BB150C79B_.wvu.FilterData" localSheetId="7" hidden="1">온나라연계!$A$1:$T$17</definedName>
    <definedName name="Z_420D201A_39D4_4D4C_B006_492BB150C79B_.wvu.FilterData" localSheetId="6" hidden="1">외부연계!$A$1:$S$27</definedName>
    <definedName name="Z_420D201A_39D4_4D4C_B006_492BB150C79B_.wvu.FilterData" localSheetId="2" hidden="1">컬럼정의서!$A$1:$Q$1</definedName>
    <definedName name="Z_4BA16F85_883B_4A25_83C4_40FEA48994C7_.wvu.Cols" localSheetId="5" hidden="1">#REF!</definedName>
    <definedName name="Z_4BA16F85_883B_4A25_83C4_40FEA48994C7_.wvu.Cols" localSheetId="4" hidden="1">#REF!</definedName>
    <definedName name="Z_4BA16F85_883B_4A25_83C4_40FEA48994C7_.wvu.Cols" localSheetId="8" hidden="1">#REF!</definedName>
    <definedName name="Z_4BA16F85_883B_4A25_83C4_40FEA48994C7_.wvu.Cols" localSheetId="7" hidden="1">#REF!</definedName>
    <definedName name="Z_4BA16F85_883B_4A25_83C4_40FEA48994C7_.wvu.Cols" localSheetId="6" hidden="1">#REF!</definedName>
    <definedName name="Z_4BA16F85_883B_4A25_83C4_40FEA48994C7_.wvu.Cols" hidden="1">#REF!</definedName>
    <definedName name="Z_4BA16F85_883B_4A25_83C4_40FEA48994C7_.wvu.FilterData" localSheetId="5" hidden="1">#REF!</definedName>
    <definedName name="Z_4BA16F85_883B_4A25_83C4_40FEA48994C7_.wvu.FilterData" localSheetId="4" hidden="1">#REF!</definedName>
    <definedName name="Z_4BA16F85_883B_4A25_83C4_40FEA48994C7_.wvu.FilterData" localSheetId="8" hidden="1">#REF!</definedName>
    <definedName name="Z_4BA16F85_883B_4A25_83C4_40FEA48994C7_.wvu.FilterData" localSheetId="7" hidden="1">#REF!</definedName>
    <definedName name="Z_4BA16F85_883B_4A25_83C4_40FEA48994C7_.wvu.FilterData" localSheetId="6" hidden="1">#REF!</definedName>
    <definedName name="Z_4BA16F85_883B_4A25_83C4_40FEA48994C7_.wvu.FilterData" hidden="1">#REF!</definedName>
    <definedName name="Z_70346E6A_FAEE_4C37_A89C_D6DC7354E054_.wvu.Cols" localSheetId="11" hidden="1">'1.기능요구사항 (2)'!$D:$D,'1.기능요구사항 (2)'!$R:$T</definedName>
    <definedName name="Z_70346E6A_FAEE_4C37_A89C_D6DC7354E054_.wvu.Cols" localSheetId="5" hidden="1">OpenAPI!$D:$D,OpenAPI!$R:$T</definedName>
    <definedName name="Z_70346E6A_FAEE_4C37_A89C_D6DC7354E054_.wvu.Cols" localSheetId="8" hidden="1">엑셀업로드!$D:$D,엑셀업로드!$Q:$S</definedName>
    <definedName name="Z_70346E6A_FAEE_4C37_A89C_D6DC7354E054_.wvu.Cols" localSheetId="7" hidden="1">온나라연계!$D:$D,온나라연계!$R:$T</definedName>
    <definedName name="Z_70346E6A_FAEE_4C37_A89C_D6DC7354E054_.wvu.Cols" localSheetId="6" hidden="1">외부연계!$D:$D,외부연계!$Q:$S</definedName>
    <definedName name="Z_70346E6A_FAEE_4C37_A89C_D6DC7354E054_.wvu.FilterData" localSheetId="11" hidden="1">'1.기능요구사항 (2)'!$A$1:$T$377</definedName>
    <definedName name="Z_70346E6A_FAEE_4C37_A89C_D6DC7354E054_.wvu.FilterData" localSheetId="5" hidden="1">OpenAPI!$A$1:$T$14</definedName>
    <definedName name="Z_70346E6A_FAEE_4C37_A89C_D6DC7354E054_.wvu.FilterData" localSheetId="4" hidden="1">'기능요구사항 (2)'!$A$1:$D$377</definedName>
    <definedName name="Z_70346E6A_FAEE_4C37_A89C_D6DC7354E054_.wvu.FilterData" localSheetId="8" hidden="1">엑셀업로드!$A$1:$S$73</definedName>
    <definedName name="Z_70346E6A_FAEE_4C37_A89C_D6DC7354E054_.wvu.FilterData" localSheetId="7" hidden="1">온나라연계!$A$1:$T$17</definedName>
    <definedName name="Z_70346E6A_FAEE_4C37_A89C_D6DC7354E054_.wvu.FilterData" localSheetId="6" hidden="1">외부연계!$A$1:$S$27</definedName>
    <definedName name="Z_70346E6A_FAEE_4C37_A89C_D6DC7354E054_.wvu.FilterData" localSheetId="2" hidden="1">컬럼정의서!$A$1:$Q$1</definedName>
    <definedName name="Z_795AB5AE_C53F_4700_AA4F_485409291E6B_.wvu.Cols" localSheetId="11" hidden="1">'1.기능요구사항 (2)'!$D:$D,'1.기능요구사항 (2)'!$R:$T</definedName>
    <definedName name="Z_795AB5AE_C53F_4700_AA4F_485409291E6B_.wvu.Cols" localSheetId="5" hidden="1">OpenAPI!$D:$D,OpenAPI!$R:$T</definedName>
    <definedName name="Z_795AB5AE_C53F_4700_AA4F_485409291E6B_.wvu.Cols" localSheetId="8" hidden="1">엑셀업로드!$D:$D,엑셀업로드!$Q:$S</definedName>
    <definedName name="Z_795AB5AE_C53F_4700_AA4F_485409291E6B_.wvu.Cols" localSheetId="7" hidden="1">온나라연계!$D:$D,온나라연계!$R:$T</definedName>
    <definedName name="Z_795AB5AE_C53F_4700_AA4F_485409291E6B_.wvu.Cols" localSheetId="6" hidden="1">외부연계!$D:$D,외부연계!$Q:$S</definedName>
    <definedName name="Z_795AB5AE_C53F_4700_AA4F_485409291E6B_.wvu.FilterData" localSheetId="11" hidden="1">'1.기능요구사항 (2)'!$A$1:$T$377</definedName>
    <definedName name="Z_795AB5AE_C53F_4700_AA4F_485409291E6B_.wvu.FilterData" localSheetId="5" hidden="1">OpenAPI!$A$1:$T$14</definedName>
    <definedName name="Z_795AB5AE_C53F_4700_AA4F_485409291E6B_.wvu.FilterData" localSheetId="4" hidden="1">'기능요구사항 (2)'!$A$1:$D$377</definedName>
    <definedName name="Z_795AB5AE_C53F_4700_AA4F_485409291E6B_.wvu.FilterData" localSheetId="8" hidden="1">엑셀업로드!$A$1:$S$73</definedName>
    <definedName name="Z_795AB5AE_C53F_4700_AA4F_485409291E6B_.wvu.FilterData" localSheetId="7" hidden="1">온나라연계!$A$1:$T$17</definedName>
    <definedName name="Z_795AB5AE_C53F_4700_AA4F_485409291E6B_.wvu.FilterData" localSheetId="6" hidden="1">외부연계!$A$1:$S$27</definedName>
    <definedName name="Z_795AB5AE_C53F_4700_AA4F_485409291E6B_.wvu.FilterData" localSheetId="2" hidden="1">컬럼정의서!$A$1:$Q$1</definedName>
    <definedName name="Z_A641AC45_9231_46CB_BCBC_210CE52FE501_.wvu.Cols" localSheetId="5" hidden="1">#REF!</definedName>
    <definedName name="Z_A641AC45_9231_46CB_BCBC_210CE52FE501_.wvu.Cols" localSheetId="4" hidden="1">#REF!</definedName>
    <definedName name="Z_A641AC45_9231_46CB_BCBC_210CE52FE501_.wvu.Cols" localSheetId="8" hidden="1">#REF!</definedName>
    <definedName name="Z_A641AC45_9231_46CB_BCBC_210CE52FE501_.wvu.Cols" localSheetId="7" hidden="1">#REF!</definedName>
    <definedName name="Z_A641AC45_9231_46CB_BCBC_210CE52FE501_.wvu.Cols" localSheetId="6" hidden="1">#REF!</definedName>
    <definedName name="Z_A641AC45_9231_46CB_BCBC_210CE52FE501_.wvu.Cols" hidden="1">#REF!</definedName>
    <definedName name="Z_A641AC45_9231_46CB_BCBC_210CE52FE501_.wvu.FilterData" localSheetId="5" hidden="1">#REF!</definedName>
    <definedName name="Z_A641AC45_9231_46CB_BCBC_210CE52FE501_.wvu.FilterData" localSheetId="4" hidden="1">#REF!</definedName>
    <definedName name="Z_A641AC45_9231_46CB_BCBC_210CE52FE501_.wvu.FilterData" localSheetId="8" hidden="1">#REF!</definedName>
    <definedName name="Z_A641AC45_9231_46CB_BCBC_210CE52FE501_.wvu.FilterData" localSheetId="7" hidden="1">#REF!</definedName>
    <definedName name="Z_A641AC45_9231_46CB_BCBC_210CE52FE501_.wvu.FilterData" localSheetId="6" hidden="1">#REF!</definedName>
    <definedName name="Z_A641AC45_9231_46CB_BCBC_210CE52FE501_.wvu.FilterData" hidden="1">#REF!</definedName>
    <definedName name="Z_A6C81588_7E44_46AD_9643_28804E22703B_.wvu.Cols" localSheetId="11" hidden="1">'1.기능요구사항 (2)'!$D:$D,'1.기능요구사항 (2)'!$R:$T</definedName>
    <definedName name="Z_A6C81588_7E44_46AD_9643_28804E22703B_.wvu.Cols" localSheetId="5" hidden="1">OpenAPI!$D:$D,OpenAPI!$R:$T</definedName>
    <definedName name="Z_A6C81588_7E44_46AD_9643_28804E22703B_.wvu.Cols" localSheetId="4" hidden="1">'기능요구사항 (2)'!#REF!,'기능요구사항 (2)'!#REF!,'기능요구사항 (2)'!#REF!</definedName>
    <definedName name="Z_A6C81588_7E44_46AD_9643_28804E22703B_.wvu.Cols" localSheetId="8" hidden="1">엑셀업로드!$D:$D,엑셀업로드!$Q:$S</definedName>
    <definedName name="Z_A6C81588_7E44_46AD_9643_28804E22703B_.wvu.Cols" localSheetId="7" hidden="1">온나라연계!$D:$D,온나라연계!$R:$T</definedName>
    <definedName name="Z_A6C81588_7E44_46AD_9643_28804E22703B_.wvu.Cols" localSheetId="6" hidden="1">외부연계!$D:$D,외부연계!$Q:$S</definedName>
    <definedName name="Z_A6C81588_7E44_46AD_9643_28804E22703B_.wvu.Cols" localSheetId="2" hidden="1">컬럼정의서!#REF!,컬럼정의서!#REF!,컬럼정의서!#REF!</definedName>
    <definedName name="Z_A6C81588_7E44_46AD_9643_28804E22703B_.wvu.FilterData" localSheetId="11" hidden="1">'1.기능요구사항 (2)'!$A$1:$T$377</definedName>
    <definedName name="Z_A6C81588_7E44_46AD_9643_28804E22703B_.wvu.FilterData" localSheetId="5" hidden="1">OpenAPI!$A$1:$T$14</definedName>
    <definedName name="Z_A6C81588_7E44_46AD_9643_28804E22703B_.wvu.FilterData" localSheetId="4" hidden="1">'기능요구사항 (2)'!$A$1:$D$377</definedName>
    <definedName name="Z_A6C81588_7E44_46AD_9643_28804E22703B_.wvu.FilterData" localSheetId="8" hidden="1">엑셀업로드!$A$1:$S$73</definedName>
    <definedName name="Z_A6C81588_7E44_46AD_9643_28804E22703B_.wvu.FilterData" localSheetId="7" hidden="1">온나라연계!$A$1:$T$17</definedName>
    <definedName name="Z_A6C81588_7E44_46AD_9643_28804E22703B_.wvu.FilterData" localSheetId="6" hidden="1">외부연계!$A$1:$S$27</definedName>
    <definedName name="Z_A6C81588_7E44_46AD_9643_28804E22703B_.wvu.FilterData" localSheetId="2" hidden="1">컬럼정의서!$A$1:$Q$1</definedName>
    <definedName name="Z_C0B3E00A_6A64_4A32_8796_BF55C9AAD4EA_.wvu.Cols" localSheetId="11" hidden="1">'1.기능요구사항 (2)'!$D:$D,'1.기능요구사항 (2)'!$R:$T</definedName>
    <definedName name="Z_C0B3E00A_6A64_4A32_8796_BF55C9AAD4EA_.wvu.Cols" localSheetId="5" hidden="1">OpenAPI!$D:$D,OpenAPI!$R:$T</definedName>
    <definedName name="Z_C0B3E00A_6A64_4A32_8796_BF55C9AAD4EA_.wvu.Cols" localSheetId="8" hidden="1">엑셀업로드!$D:$D,엑셀업로드!$Q:$S</definedName>
    <definedName name="Z_C0B3E00A_6A64_4A32_8796_BF55C9AAD4EA_.wvu.Cols" localSheetId="7" hidden="1">온나라연계!$D:$D,온나라연계!$R:$T</definedName>
    <definedName name="Z_C0B3E00A_6A64_4A32_8796_BF55C9AAD4EA_.wvu.Cols" localSheetId="6" hidden="1">외부연계!$D:$D,외부연계!$Q:$S</definedName>
    <definedName name="Z_C0B3E00A_6A64_4A32_8796_BF55C9AAD4EA_.wvu.Cols" localSheetId="2" hidden="1">컬럼정의서!$Q:$Q</definedName>
    <definedName name="Z_C0B3E00A_6A64_4A32_8796_BF55C9AAD4EA_.wvu.FilterData" localSheetId="11" hidden="1">'1.기능요구사항 (2)'!$A$1:$T$377</definedName>
    <definedName name="Z_C0B3E00A_6A64_4A32_8796_BF55C9AAD4EA_.wvu.FilterData" localSheetId="5" hidden="1">OpenAPI!$A$1:$T$14</definedName>
    <definedName name="Z_C0B3E00A_6A64_4A32_8796_BF55C9AAD4EA_.wvu.FilterData" localSheetId="4" hidden="1">'기능요구사항 (2)'!$A$1:$D$377</definedName>
    <definedName name="Z_C0B3E00A_6A64_4A32_8796_BF55C9AAD4EA_.wvu.FilterData" localSheetId="8" hidden="1">엑셀업로드!$A$1:$S$73</definedName>
    <definedName name="Z_C0B3E00A_6A64_4A32_8796_BF55C9AAD4EA_.wvu.FilterData" localSheetId="7" hidden="1">온나라연계!$A$1:$T$17</definedName>
    <definedName name="Z_C0B3E00A_6A64_4A32_8796_BF55C9AAD4EA_.wvu.FilterData" localSheetId="6" hidden="1">외부연계!$A$1:$S$27</definedName>
    <definedName name="Z_C0B3E00A_6A64_4A32_8796_BF55C9AAD4EA_.wvu.FilterData" localSheetId="2" hidden="1">컬럼정의서!$A$1:$Q$1</definedName>
    <definedName name="Z_C2EF17EA_621C_4DD1_8328_2703FD61DDC0_.wvu.Cols" localSheetId="5" hidden="1">#REF!</definedName>
    <definedName name="Z_C2EF17EA_621C_4DD1_8328_2703FD61DDC0_.wvu.Cols" localSheetId="4" hidden="1">#REF!</definedName>
    <definedName name="Z_C2EF17EA_621C_4DD1_8328_2703FD61DDC0_.wvu.Cols" localSheetId="8" hidden="1">#REF!</definedName>
    <definedName name="Z_C2EF17EA_621C_4DD1_8328_2703FD61DDC0_.wvu.Cols" localSheetId="7" hidden="1">#REF!</definedName>
    <definedName name="Z_C2EF17EA_621C_4DD1_8328_2703FD61DDC0_.wvu.Cols" localSheetId="6" hidden="1">#REF!</definedName>
    <definedName name="Z_C2EF17EA_621C_4DD1_8328_2703FD61DDC0_.wvu.Cols" hidden="1">#REF!</definedName>
    <definedName name="Z_C2EF17EA_621C_4DD1_8328_2703FD61DDC0_.wvu.FilterData" localSheetId="5" hidden="1">#REF!</definedName>
    <definedName name="Z_C2EF17EA_621C_4DD1_8328_2703FD61DDC0_.wvu.FilterData" localSheetId="4" hidden="1">#REF!</definedName>
    <definedName name="Z_C2EF17EA_621C_4DD1_8328_2703FD61DDC0_.wvu.FilterData" localSheetId="8" hidden="1">#REF!</definedName>
    <definedName name="Z_C2EF17EA_621C_4DD1_8328_2703FD61DDC0_.wvu.FilterData" localSheetId="7" hidden="1">#REF!</definedName>
    <definedName name="Z_C2EF17EA_621C_4DD1_8328_2703FD61DDC0_.wvu.FilterData" localSheetId="6" hidden="1">#REF!</definedName>
    <definedName name="Z_C2EF17EA_621C_4DD1_8328_2703FD61DDC0_.wvu.FilterData" hidden="1">#REF!</definedName>
    <definedName name="Z_DCF66D61_6516_4FDE_9A35_3231620E8F77_.wvu.Cols" localSheetId="5" hidden="1">#REF!</definedName>
    <definedName name="Z_DCF66D61_6516_4FDE_9A35_3231620E8F77_.wvu.Cols" localSheetId="4" hidden="1">#REF!</definedName>
    <definedName name="Z_DCF66D61_6516_4FDE_9A35_3231620E8F77_.wvu.Cols" localSheetId="8" hidden="1">#REF!</definedName>
    <definedName name="Z_DCF66D61_6516_4FDE_9A35_3231620E8F77_.wvu.Cols" localSheetId="7" hidden="1">#REF!</definedName>
    <definedName name="Z_DCF66D61_6516_4FDE_9A35_3231620E8F77_.wvu.Cols" localSheetId="6" hidden="1">#REF!</definedName>
    <definedName name="Z_DCF66D61_6516_4FDE_9A35_3231620E8F77_.wvu.Cols" hidden="1">#REF!</definedName>
    <definedName name="Z_DCF66D61_6516_4FDE_9A35_3231620E8F77_.wvu.FilterData" localSheetId="5" hidden="1">#REF!</definedName>
    <definedName name="Z_DCF66D61_6516_4FDE_9A35_3231620E8F77_.wvu.FilterData" localSheetId="4" hidden="1">#REF!</definedName>
    <definedName name="Z_DCF66D61_6516_4FDE_9A35_3231620E8F77_.wvu.FilterData" localSheetId="8" hidden="1">#REF!</definedName>
    <definedName name="Z_DCF66D61_6516_4FDE_9A35_3231620E8F77_.wvu.FilterData" localSheetId="7" hidden="1">#REF!</definedName>
    <definedName name="Z_DCF66D61_6516_4FDE_9A35_3231620E8F77_.wvu.FilterData" localSheetId="6" hidden="1">#REF!</definedName>
    <definedName name="Z_DCF66D61_6516_4FDE_9A35_3231620E8F77_.wvu.FilterData" hidden="1">#REF!</definedName>
    <definedName name="Z_E882F9DF_2D96_41FF_BB63_9D01C8C3971B_.wvu.Cols" localSheetId="5" hidden="1">#REF!</definedName>
    <definedName name="Z_E882F9DF_2D96_41FF_BB63_9D01C8C3971B_.wvu.Cols" localSheetId="4" hidden="1">#REF!</definedName>
    <definedName name="Z_E882F9DF_2D96_41FF_BB63_9D01C8C3971B_.wvu.Cols" localSheetId="8" hidden="1">#REF!</definedName>
    <definedName name="Z_E882F9DF_2D96_41FF_BB63_9D01C8C3971B_.wvu.Cols" localSheetId="7" hidden="1">#REF!</definedName>
    <definedName name="Z_E882F9DF_2D96_41FF_BB63_9D01C8C3971B_.wvu.Cols" localSheetId="6" hidden="1">#REF!</definedName>
    <definedName name="Z_E882F9DF_2D96_41FF_BB63_9D01C8C3971B_.wvu.Cols" hidden="1">#REF!</definedName>
    <definedName name="Z_E882F9DF_2D96_41FF_BB63_9D01C8C3971B_.wvu.FilterData" localSheetId="5" hidden="1">#REF!</definedName>
    <definedName name="Z_E882F9DF_2D96_41FF_BB63_9D01C8C3971B_.wvu.FilterData" localSheetId="4" hidden="1">#REF!</definedName>
    <definedName name="Z_E882F9DF_2D96_41FF_BB63_9D01C8C3971B_.wvu.FilterData" localSheetId="8" hidden="1">#REF!</definedName>
    <definedName name="Z_E882F9DF_2D96_41FF_BB63_9D01C8C3971B_.wvu.FilterData" localSheetId="7" hidden="1">#REF!</definedName>
    <definedName name="Z_E882F9DF_2D96_41FF_BB63_9D01C8C3971B_.wvu.FilterData" localSheetId="6" hidden="1">#REF!</definedName>
    <definedName name="Z_E882F9DF_2D96_41FF_BB63_9D01C8C3971B_.wvu.FilterData" hidden="1">#REF!</definedName>
    <definedName name="Z_EB4CA770_1436_4E3D_889F_30E34BABACCC_.wvu.Cols" localSheetId="11" hidden="1">'1.기능요구사항 (2)'!$D:$D,'1.기능요구사항 (2)'!$R:$T</definedName>
    <definedName name="Z_EB4CA770_1436_4E3D_889F_30E34BABACCC_.wvu.Cols" localSheetId="5" hidden="1">OpenAPI!$D:$D,OpenAPI!$R:$T</definedName>
    <definedName name="Z_EB4CA770_1436_4E3D_889F_30E34BABACCC_.wvu.Cols" localSheetId="8" hidden="1">엑셀업로드!$D:$D,엑셀업로드!$Q:$S</definedName>
    <definedName name="Z_EB4CA770_1436_4E3D_889F_30E34BABACCC_.wvu.Cols" localSheetId="7" hidden="1">온나라연계!$D:$D,온나라연계!$R:$T</definedName>
    <definedName name="Z_EB4CA770_1436_4E3D_889F_30E34BABACCC_.wvu.Cols" localSheetId="6" hidden="1">외부연계!$D:$D,외부연계!$Q:$S</definedName>
    <definedName name="Z_EB4CA770_1436_4E3D_889F_30E34BABACCC_.wvu.FilterData" localSheetId="11" hidden="1">'1.기능요구사항 (2)'!$A$1:$T$377</definedName>
    <definedName name="Z_EB4CA770_1436_4E3D_889F_30E34BABACCC_.wvu.FilterData" localSheetId="5" hidden="1">OpenAPI!$A$1:$T$14</definedName>
    <definedName name="Z_EB4CA770_1436_4E3D_889F_30E34BABACCC_.wvu.FilterData" localSheetId="4" hidden="1">'기능요구사항 (2)'!$A$1:$D$377</definedName>
    <definedName name="Z_EB4CA770_1436_4E3D_889F_30E34BABACCC_.wvu.FilterData" localSheetId="8" hidden="1">엑셀업로드!$A$1:$S$73</definedName>
    <definedName name="Z_EB4CA770_1436_4E3D_889F_30E34BABACCC_.wvu.FilterData" localSheetId="7" hidden="1">온나라연계!$A$1:$T$17</definedName>
    <definedName name="Z_EB4CA770_1436_4E3D_889F_30E34BABACCC_.wvu.FilterData" localSheetId="6" hidden="1">외부연계!$A$1:$S$27</definedName>
    <definedName name="Z_EB4CA770_1436_4E3D_889F_30E34BABACCC_.wvu.FilterData" localSheetId="2" hidden="1">컬럼정의서!$A$1:$Q$1</definedName>
    <definedName name="Z_ECE59E39_CC7C_4982_BBEA_70E5E2795175_.wvu.Cols" localSheetId="5" hidden="1">#REF!</definedName>
    <definedName name="Z_ECE59E39_CC7C_4982_BBEA_70E5E2795175_.wvu.Cols" localSheetId="4" hidden="1">#REF!</definedName>
    <definedName name="Z_ECE59E39_CC7C_4982_BBEA_70E5E2795175_.wvu.Cols" localSheetId="8" hidden="1">#REF!</definedName>
    <definedName name="Z_ECE59E39_CC7C_4982_BBEA_70E5E2795175_.wvu.Cols" localSheetId="7" hidden="1">#REF!</definedName>
    <definedName name="Z_ECE59E39_CC7C_4982_BBEA_70E5E2795175_.wvu.Cols" localSheetId="6" hidden="1">#REF!</definedName>
    <definedName name="Z_ECE59E39_CC7C_4982_BBEA_70E5E2795175_.wvu.Cols" hidden="1">#REF!</definedName>
    <definedName name="Z_ECE59E39_CC7C_4982_BBEA_70E5E2795175_.wvu.FilterData" localSheetId="5" hidden="1">#REF!</definedName>
    <definedName name="Z_ECE59E39_CC7C_4982_BBEA_70E5E2795175_.wvu.FilterData" localSheetId="4" hidden="1">#REF!</definedName>
    <definedName name="Z_ECE59E39_CC7C_4982_BBEA_70E5E2795175_.wvu.FilterData" localSheetId="8" hidden="1">#REF!</definedName>
    <definedName name="Z_ECE59E39_CC7C_4982_BBEA_70E5E2795175_.wvu.FilterData" localSheetId="7" hidden="1">#REF!</definedName>
    <definedName name="Z_ECE59E39_CC7C_4982_BBEA_70E5E2795175_.wvu.FilterData" localSheetId="6" hidden="1">#REF!</definedName>
    <definedName name="Z_ECE59E39_CC7C_4982_BBEA_70E5E2795175_.wvu.FilterData" hidden="1">#REF!</definedName>
    <definedName name="ㄴ" localSheetId="5">#REF!</definedName>
    <definedName name="ㄴ" localSheetId="4">#REF!</definedName>
    <definedName name="ㄴ" localSheetId="8">#REF!</definedName>
    <definedName name="ㄴ" localSheetId="7">#REF!</definedName>
    <definedName name="ㄴ" localSheetId="6">#REF!</definedName>
    <definedName name="ㄴ">#REF!</definedName>
    <definedName name="버전" localSheetId="5">#REF!</definedName>
    <definedName name="버전" localSheetId="4">#REF!</definedName>
    <definedName name="버전" localSheetId="8">#REF!</definedName>
    <definedName name="버전" localSheetId="7">#REF!</definedName>
    <definedName name="버전" localSheetId="6">#REF!</definedName>
    <definedName name="버전">#REF!</definedName>
  </definedNames>
  <calcPr calcId="162913"/>
  <customWorkbookViews>
    <customWorkbookView name="하범용 - 사용자 보기" guid="{2940EC69-0E40-4162-8549-ED35AA338A49}" mergeInterval="0" personalView="1" maximized="1" xWindow="-8" yWindow="-8" windowWidth="2576" windowHeight="1408" activeSheetId="3"/>
    <customWorkbookView name="김선민 - 사용자 보기" guid="{795AB5AE-C53F-4700-AA4F-485409291E6B}" mergeInterval="0" personalView="1" maximized="1" xWindow="-8" yWindow="-8" windowWidth="3456" windowHeight="1416" activeSheetId="3"/>
    <customWorkbookView name="UNFINE-KSK - 사용자 보기" guid="{C0B3E00A-6A64-4A32-8796-BF55C9AAD4EA}" mergeInterval="0" personalView="1" xWindow="484" yWindow="360" windowWidth="1920" windowHeight="1029" activeSheetId="1"/>
    <customWorkbookView name="유엔파인 - 사용자 보기" guid="{EB4CA770-1436-4E3D-889F-30E34BABACCC}" mergeInterval="0" personalView="1" maximized="1" xWindow="-8" yWindow="-8" windowWidth="2576" windowHeight="1416" activeSheetId="3"/>
    <customWorkbookView name="gsmin - 사용자 보기" guid="{2A8CFD2D-F9CC-4306-8A26-A82C68617360}" mergeInterval="0" personalView="1" xWindow="1097" windowWidth="2059" windowHeight="1399" activeSheetId="4"/>
    <customWorkbookView name="UNFINE-HBY - 사용자 보기" guid="{70346E6A-FAEE-4C37-A89C-D6DC7354E054}" mergeInterval="0" personalView="1" maximized="1" xWindow="-1928" yWindow="349" windowWidth="1936" windowHeight="1048"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 l="1"/>
  <c r="D369" i="12" l="1"/>
  <c r="D370" i="12" s="1"/>
  <c r="D358" i="12"/>
  <c r="D359" i="12" s="1"/>
  <c r="D339" i="12"/>
  <c r="D340" i="12" s="1"/>
  <c r="D328" i="12"/>
  <c r="D329" i="12" s="1"/>
  <c r="D321" i="12"/>
  <c r="D322" i="12" s="1"/>
  <c r="D314" i="12"/>
  <c r="E314" i="12" s="1"/>
  <c r="D309" i="12"/>
  <c r="D310" i="12" s="1"/>
  <c r="D307" i="12"/>
  <c r="D308" i="12" s="1"/>
  <c r="E308" i="12" s="1"/>
  <c r="D301" i="12"/>
  <c r="D302" i="12" s="1"/>
  <c r="D286" i="12"/>
  <c r="D287" i="12" s="1"/>
  <c r="D281" i="12"/>
  <c r="E281" i="12" s="1"/>
  <c r="D271" i="12"/>
  <c r="D272" i="12" s="1"/>
  <c r="D267" i="12"/>
  <c r="D268" i="12" s="1"/>
  <c r="D255" i="12"/>
  <c r="D256" i="12" s="1"/>
  <c r="D247" i="12"/>
  <c r="D248" i="12" s="1"/>
  <c r="D241" i="12"/>
  <c r="D242" i="12" s="1"/>
  <c r="D233" i="12"/>
  <c r="E233" i="12" s="1"/>
  <c r="D216" i="12"/>
  <c r="D217" i="12" s="1"/>
  <c r="D218" i="12" s="1"/>
  <c r="D210" i="12"/>
  <c r="D211" i="12" s="1"/>
  <c r="D212" i="12" s="1"/>
  <c r="D206" i="12"/>
  <c r="E206" i="12" s="1"/>
  <c r="D195" i="12"/>
  <c r="D196" i="12" s="1"/>
  <c r="D187" i="12"/>
  <c r="D188" i="12" s="1"/>
  <c r="D172" i="12"/>
  <c r="D173" i="12" s="1"/>
  <c r="D166" i="12"/>
  <c r="D167" i="12" s="1"/>
  <c r="D159" i="12"/>
  <c r="D160" i="12" s="1"/>
  <c r="D153" i="12"/>
  <c r="D154" i="12" s="1"/>
  <c r="D143" i="12"/>
  <c r="E143" i="12" s="1"/>
  <c r="D137" i="12"/>
  <c r="E137" i="12" s="1"/>
  <c r="D128" i="12"/>
  <c r="E128" i="12" s="1"/>
  <c r="D124" i="12"/>
  <c r="D125" i="12" s="1"/>
  <c r="D117" i="12"/>
  <c r="D118" i="12" s="1"/>
  <c r="D107" i="12"/>
  <c r="E107" i="12" s="1"/>
  <c r="D100" i="12"/>
  <c r="D101" i="12" s="1"/>
  <c r="D93" i="12"/>
  <c r="D94" i="12" s="1"/>
  <c r="D85" i="12"/>
  <c r="D86" i="12" s="1"/>
  <c r="D76" i="12"/>
  <c r="D77" i="12" s="1"/>
  <c r="D66" i="12"/>
  <c r="E66" i="12" s="1"/>
  <c r="D56" i="12"/>
  <c r="E56" i="12" s="1"/>
  <c r="D48" i="12"/>
  <c r="E48" i="12" s="1"/>
  <c r="D43" i="12"/>
  <c r="D44" i="12" s="1"/>
  <c r="D39" i="12"/>
  <c r="D40" i="12" s="1"/>
  <c r="D31" i="12"/>
  <c r="D32" i="12" s="1"/>
  <c r="D12" i="12"/>
  <c r="D13" i="12" s="1"/>
  <c r="D3" i="12"/>
  <c r="D4" i="12" s="1"/>
  <c r="E2" i="12"/>
  <c r="D74" i="9"/>
  <c r="D75" i="9" s="1"/>
  <c r="D76" i="9" s="1"/>
  <c r="D2" i="9"/>
  <c r="D3" i="9" s="1"/>
  <c r="D4" i="9" s="1"/>
  <c r="D5" i="9" s="1"/>
  <c r="D6" i="9" s="1"/>
  <c r="D7" i="9" s="1"/>
  <c r="D8" i="9" s="1"/>
  <c r="D9" i="9" s="1"/>
  <c r="D10" i="9" s="1"/>
  <c r="E195" i="12" l="1"/>
  <c r="E39" i="12"/>
  <c r="E93" i="12"/>
  <c r="D207" i="12"/>
  <c r="D208" i="12" s="1"/>
  <c r="D49" i="12"/>
  <c r="D50" i="12" s="1"/>
  <c r="D67" i="12"/>
  <c r="D68" i="12" s="1"/>
  <c r="E68" i="12" s="1"/>
  <c r="D108" i="12"/>
  <c r="D109" i="12" s="1"/>
  <c r="D110" i="12" s="1"/>
  <c r="D111" i="12" s="1"/>
  <c r="E339" i="12"/>
  <c r="E369" i="12"/>
  <c r="E216" i="12"/>
  <c r="E153" i="12"/>
  <c r="E117" i="12"/>
  <c r="E159" i="12"/>
  <c r="D234" i="12"/>
  <c r="D57" i="12"/>
  <c r="E309" i="12"/>
  <c r="D129" i="12"/>
  <c r="D315" i="12"/>
  <c r="E255" i="12"/>
  <c r="E321" i="12"/>
  <c r="E3" i="12"/>
  <c r="D138" i="12"/>
  <c r="E12" i="12"/>
  <c r="E207" i="12"/>
  <c r="E267" i="12"/>
  <c r="D144" i="12"/>
  <c r="E210" i="12"/>
  <c r="D282" i="12"/>
  <c r="D273" i="12"/>
  <c r="E272" i="12"/>
  <c r="D311" i="12"/>
  <c r="E310" i="12"/>
  <c r="D45" i="12"/>
  <c r="E44" i="12"/>
  <c r="D155" i="12"/>
  <c r="E154" i="12"/>
  <c r="D249" i="12"/>
  <c r="E248" i="12"/>
  <c r="D341" i="12"/>
  <c r="E340" i="12"/>
  <c r="D95" i="12"/>
  <c r="E94" i="12"/>
  <c r="D209" i="12"/>
  <c r="E209" i="12" s="1"/>
  <c r="E208" i="12"/>
  <c r="D119" i="12"/>
  <c r="E118" i="12"/>
  <c r="D161" i="12"/>
  <c r="E160" i="12"/>
  <c r="D257" i="12"/>
  <c r="E256" i="12"/>
  <c r="D51" i="12"/>
  <c r="E50" i="12"/>
  <c r="D189" i="12"/>
  <c r="E188" i="12"/>
  <c r="E287" i="12"/>
  <c r="D288" i="12"/>
  <c r="E101" i="12"/>
  <c r="D102" i="12"/>
  <c r="D213" i="12"/>
  <c r="E212" i="12"/>
  <c r="E359" i="12"/>
  <c r="D360" i="12"/>
  <c r="D5" i="12"/>
  <c r="E4" i="12"/>
  <c r="D33" i="12"/>
  <c r="E32" i="12"/>
  <c r="E77" i="12"/>
  <c r="D78" i="12"/>
  <c r="E125" i="12"/>
  <c r="D126" i="12"/>
  <c r="D323" i="12"/>
  <c r="E322" i="12"/>
  <c r="E167" i="12"/>
  <c r="D168" i="12"/>
  <c r="D197" i="12"/>
  <c r="E196" i="12"/>
  <c r="D269" i="12"/>
  <c r="E268" i="12"/>
  <c r="D303" i="12"/>
  <c r="E302" i="12"/>
  <c r="D371" i="12"/>
  <c r="E370" i="12"/>
  <c r="D41" i="12"/>
  <c r="E40" i="12"/>
  <c r="D219" i="12"/>
  <c r="E218" i="12"/>
  <c r="D243" i="12"/>
  <c r="E242" i="12"/>
  <c r="E329" i="12"/>
  <c r="D330" i="12"/>
  <c r="D14" i="12"/>
  <c r="E13" i="12"/>
  <c r="D87" i="12"/>
  <c r="E86" i="12"/>
  <c r="E173" i="12"/>
  <c r="D174" i="12"/>
  <c r="E31" i="12"/>
  <c r="E43" i="12"/>
  <c r="E49" i="12"/>
  <c r="E85" i="12"/>
  <c r="E187" i="12"/>
  <c r="E211" i="12"/>
  <c r="E217" i="12"/>
  <c r="E241" i="12"/>
  <c r="E247" i="12"/>
  <c r="E271" i="12"/>
  <c r="E301" i="12"/>
  <c r="E307" i="12"/>
  <c r="E76" i="12"/>
  <c r="E100" i="12"/>
  <c r="E124" i="12"/>
  <c r="E166" i="12"/>
  <c r="E172" i="12"/>
  <c r="E286" i="12"/>
  <c r="E328" i="12"/>
  <c r="E358" i="12"/>
  <c r="E109" i="12" l="1"/>
  <c r="E67" i="12"/>
  <c r="D69" i="12"/>
  <c r="D70" i="12" s="1"/>
  <c r="E110" i="12"/>
  <c r="E108" i="12"/>
  <c r="D316" i="12"/>
  <c r="E315" i="12"/>
  <c r="D130" i="12"/>
  <c r="E129" i="12"/>
  <c r="D58" i="12"/>
  <c r="E57" i="12"/>
  <c r="D235" i="12"/>
  <c r="E234" i="12"/>
  <c r="E144" i="12"/>
  <c r="D145" i="12"/>
  <c r="E138" i="12"/>
  <c r="D139" i="12"/>
  <c r="D283" i="12"/>
  <c r="E282" i="12"/>
  <c r="D88" i="12"/>
  <c r="E87" i="12"/>
  <c r="D289" i="12"/>
  <c r="E288" i="12"/>
  <c r="E257" i="12"/>
  <c r="D258" i="12"/>
  <c r="D250" i="12"/>
  <c r="E249" i="12"/>
  <c r="E41" i="12"/>
  <c r="D42" i="12"/>
  <c r="E42" i="12" s="1"/>
  <c r="D361" i="12"/>
  <c r="E360" i="12"/>
  <c r="E161" i="12"/>
  <c r="D162" i="12"/>
  <c r="E155" i="12"/>
  <c r="D156" i="12"/>
  <c r="D331" i="12"/>
  <c r="E330" i="12"/>
  <c r="D79" i="12"/>
  <c r="E78" i="12"/>
  <c r="D190" i="12"/>
  <c r="E189" i="12"/>
  <c r="D127" i="12"/>
  <c r="E127" i="12" s="1"/>
  <c r="E126" i="12"/>
  <c r="E197" i="12"/>
  <c r="D198" i="12"/>
  <c r="E95" i="12"/>
  <c r="D96" i="12"/>
  <c r="D46" i="12"/>
  <c r="E45" i="12"/>
  <c r="D169" i="12"/>
  <c r="E168" i="12"/>
  <c r="D214" i="12"/>
  <c r="E213" i="12"/>
  <c r="D244" i="12"/>
  <c r="E243" i="12"/>
  <c r="E371" i="12"/>
  <c r="D372" i="12"/>
  <c r="D34" i="12"/>
  <c r="E33" i="12"/>
  <c r="D103" i="12"/>
  <c r="E102" i="12"/>
  <c r="E119" i="12"/>
  <c r="D120" i="12"/>
  <c r="E311" i="12"/>
  <c r="D312" i="12"/>
  <c r="D52" i="12"/>
  <c r="E51" i="12"/>
  <c r="D220" i="12"/>
  <c r="E219" i="12"/>
  <c r="D304" i="12"/>
  <c r="E303" i="12"/>
  <c r="E5" i="12"/>
  <c r="D6" i="12"/>
  <c r="E69" i="12"/>
  <c r="D274" i="12"/>
  <c r="E273" i="12"/>
  <c r="D15" i="12"/>
  <c r="E14" i="12"/>
  <c r="D175" i="12"/>
  <c r="E174" i="12"/>
  <c r="E269" i="12"/>
  <c r="D270" i="12"/>
  <c r="E270" i="12" s="1"/>
  <c r="E323" i="12"/>
  <c r="D324" i="12"/>
  <c r="E341" i="12"/>
  <c r="D342" i="12"/>
  <c r="D112" i="12"/>
  <c r="E111" i="12"/>
  <c r="D146" i="12" l="1"/>
  <c r="E145" i="12"/>
  <c r="E283" i="12"/>
  <c r="D284" i="12"/>
  <c r="D131" i="12"/>
  <c r="E130" i="12"/>
  <c r="D140" i="12"/>
  <c r="E139" i="12"/>
  <c r="D236" i="12"/>
  <c r="E235" i="12"/>
  <c r="D317" i="12"/>
  <c r="E316" i="12"/>
  <c r="D59" i="12"/>
  <c r="E58" i="12"/>
  <c r="D121" i="12"/>
  <c r="E120" i="12"/>
  <c r="D199" i="12"/>
  <c r="E198" i="12"/>
  <c r="D259" i="12"/>
  <c r="E258" i="12"/>
  <c r="D221" i="12"/>
  <c r="E220" i="12"/>
  <c r="D157" i="12"/>
  <c r="E156" i="12"/>
  <c r="D275" i="12"/>
  <c r="E274" i="12"/>
  <c r="D104" i="12"/>
  <c r="E103" i="12"/>
  <c r="D290" i="12"/>
  <c r="E289" i="12"/>
  <c r="D343" i="12"/>
  <c r="E342" i="12"/>
  <c r="D163" i="12"/>
  <c r="E162" i="12"/>
  <c r="D35" i="12"/>
  <c r="E34" i="12"/>
  <c r="D191" i="12"/>
  <c r="E190" i="12"/>
  <c r="D373" i="12"/>
  <c r="E372" i="12"/>
  <c r="D113" i="12"/>
  <c r="E112" i="12"/>
  <c r="D53" i="12"/>
  <c r="E52" i="12"/>
  <c r="D71" i="12"/>
  <c r="E70" i="12"/>
  <c r="D215" i="12"/>
  <c r="E215" i="12" s="1"/>
  <c r="E214" i="12"/>
  <c r="D47" i="12"/>
  <c r="E47" i="12" s="1"/>
  <c r="E46" i="12"/>
  <c r="D80" i="12"/>
  <c r="E79" i="12"/>
  <c r="D362" i="12"/>
  <c r="E361" i="12"/>
  <c r="D16" i="12"/>
  <c r="E15" i="12"/>
  <c r="D325" i="12"/>
  <c r="E324" i="12"/>
  <c r="D7" i="12"/>
  <c r="E6" i="12"/>
  <c r="D97" i="12"/>
  <c r="E96" i="12"/>
  <c r="D245" i="12"/>
  <c r="E244" i="12"/>
  <c r="D170" i="12"/>
  <c r="E169" i="12"/>
  <c r="D332" i="12"/>
  <c r="E331" i="12"/>
  <c r="D313" i="12"/>
  <c r="E313" i="12" s="1"/>
  <c r="E312" i="12"/>
  <c r="D176" i="12"/>
  <c r="E175" i="12"/>
  <c r="D305" i="12"/>
  <c r="E304" i="12"/>
  <c r="D251" i="12"/>
  <c r="E250" i="12"/>
  <c r="D89" i="12"/>
  <c r="E88" i="12"/>
  <c r="E59" i="12" l="1"/>
  <c r="D60" i="12"/>
  <c r="E317" i="12"/>
  <c r="D318" i="12"/>
  <c r="D237" i="12"/>
  <c r="E236" i="12"/>
  <c r="D132" i="12"/>
  <c r="E131" i="12"/>
  <c r="D285" i="12"/>
  <c r="E285" i="12" s="1"/>
  <c r="E284" i="12"/>
  <c r="D141" i="12"/>
  <c r="E140" i="12"/>
  <c r="E146" i="12"/>
  <c r="D147" i="12"/>
  <c r="E71" i="12"/>
  <c r="D72" i="12"/>
  <c r="D291" i="12"/>
  <c r="E290" i="12"/>
  <c r="D326" i="12"/>
  <c r="E325" i="12"/>
  <c r="D81" i="12"/>
  <c r="E80" i="12"/>
  <c r="D374" i="12"/>
  <c r="E373" i="12"/>
  <c r="E35" i="12"/>
  <c r="D36" i="12"/>
  <c r="E221" i="12"/>
  <c r="D222" i="12"/>
  <c r="E191" i="12"/>
  <c r="D192" i="12"/>
  <c r="E245" i="12"/>
  <c r="D246" i="12"/>
  <c r="E246" i="12" s="1"/>
  <c r="D260" i="12"/>
  <c r="E259" i="12"/>
  <c r="D333" i="12"/>
  <c r="E332" i="12"/>
  <c r="D17" i="12"/>
  <c r="E16" i="12"/>
  <c r="D105" i="12"/>
  <c r="E104" i="12"/>
  <c r="D158" i="12"/>
  <c r="E158" i="12" s="1"/>
  <c r="E157" i="12"/>
  <c r="D200" i="12"/>
  <c r="E199" i="12"/>
  <c r="D363" i="12"/>
  <c r="E362" i="12"/>
  <c r="E305" i="12"/>
  <c r="D306" i="12"/>
  <c r="E306" i="12" s="1"/>
  <c r="E89" i="12"/>
  <c r="D90" i="12"/>
  <c r="D177" i="12"/>
  <c r="E176" i="12"/>
  <c r="D98" i="12"/>
  <c r="E97" i="12"/>
  <c r="E53" i="12"/>
  <c r="D54" i="12"/>
  <c r="D122" i="12"/>
  <c r="E121" i="12"/>
  <c r="E251" i="12"/>
  <c r="D252" i="12"/>
  <c r="D171" i="12"/>
  <c r="E171" i="12" s="1"/>
  <c r="E170" i="12"/>
  <c r="D8" i="12"/>
  <c r="E7" i="12"/>
  <c r="E113" i="12"/>
  <c r="D114" i="12"/>
  <c r="D164" i="12"/>
  <c r="E163" i="12"/>
  <c r="D344" i="12"/>
  <c r="E343" i="12"/>
  <c r="E275" i="12"/>
  <c r="D276" i="12"/>
  <c r="E141" i="12" l="1"/>
  <c r="D142" i="12"/>
  <c r="E142" i="12" s="1"/>
  <c r="E147" i="12"/>
  <c r="D148" i="12"/>
  <c r="D133" i="12"/>
  <c r="E132" i="12"/>
  <c r="D238" i="12"/>
  <c r="E237" i="12"/>
  <c r="D319" i="12"/>
  <c r="E318" i="12"/>
  <c r="D61" i="12"/>
  <c r="E60" i="12"/>
  <c r="D99" i="12"/>
  <c r="E99" i="12" s="1"/>
  <c r="E98" i="12"/>
  <c r="D277" i="12"/>
  <c r="E276" i="12"/>
  <c r="D37" i="12"/>
  <c r="E36" i="12"/>
  <c r="D9" i="12"/>
  <c r="E8" i="12"/>
  <c r="D178" i="12"/>
  <c r="E177" i="12"/>
  <c r="D106" i="12"/>
  <c r="E106" i="12" s="1"/>
  <c r="E105" i="12"/>
  <c r="D91" i="12"/>
  <c r="E90" i="12"/>
  <c r="D345" i="12"/>
  <c r="E344" i="12"/>
  <c r="D375" i="12"/>
  <c r="E374" i="12"/>
  <c r="D292" i="12"/>
  <c r="E291" i="12"/>
  <c r="D223" i="12"/>
  <c r="E222" i="12"/>
  <c r="D364" i="12"/>
  <c r="E363" i="12"/>
  <c r="D261" i="12"/>
  <c r="E260" i="12"/>
  <c r="D123" i="12"/>
  <c r="E123" i="12" s="1"/>
  <c r="E122" i="12"/>
  <c r="D253" i="12"/>
  <c r="E252" i="12"/>
  <c r="D55" i="12"/>
  <c r="E55" i="12" s="1"/>
  <c r="E54" i="12"/>
  <c r="D165" i="12"/>
  <c r="E165" i="12" s="1"/>
  <c r="E164" i="12"/>
  <c r="D201" i="12"/>
  <c r="E200" i="12"/>
  <c r="E17" i="12"/>
  <c r="D18" i="12"/>
  <c r="D82" i="12"/>
  <c r="E81" i="12"/>
  <c r="D193" i="12"/>
  <c r="E192" i="12"/>
  <c r="D73" i="12"/>
  <c r="E72" i="12"/>
  <c r="D334" i="12"/>
  <c r="E333" i="12"/>
  <c r="D115" i="12"/>
  <c r="E114" i="12"/>
  <c r="D327" i="12"/>
  <c r="E327" i="12" s="1"/>
  <c r="E326" i="12"/>
  <c r="D62" i="12" l="1"/>
  <c r="E61" i="12"/>
  <c r="D134" i="12"/>
  <c r="E133" i="12"/>
  <c r="E238" i="12"/>
  <c r="D239" i="12"/>
  <c r="D149" i="12"/>
  <c r="E148" i="12"/>
  <c r="E319" i="12"/>
  <c r="D320" i="12"/>
  <c r="E320" i="12" s="1"/>
  <c r="D194" i="12"/>
  <c r="E194" i="12" s="1"/>
  <c r="E193" i="12"/>
  <c r="D262" i="12"/>
  <c r="E261" i="12"/>
  <c r="D293" i="12"/>
  <c r="E292" i="12"/>
  <c r="D92" i="12"/>
  <c r="E92" i="12" s="1"/>
  <c r="E91" i="12"/>
  <c r="D10" i="12"/>
  <c r="E9" i="12"/>
  <c r="D376" i="12"/>
  <c r="E375" i="12"/>
  <c r="D38" i="12"/>
  <c r="E38" i="12" s="1"/>
  <c r="E37" i="12"/>
  <c r="D116" i="12"/>
  <c r="E116" i="12" s="1"/>
  <c r="E115" i="12"/>
  <c r="D83" i="12"/>
  <c r="E82" i="12"/>
  <c r="D365" i="12"/>
  <c r="E364" i="12"/>
  <c r="D278" i="12"/>
  <c r="E277" i="12"/>
  <c r="D335" i="12"/>
  <c r="E334" i="12"/>
  <c r="D19" i="12"/>
  <c r="E18" i="12"/>
  <c r="D254" i="12"/>
  <c r="E254" i="12" s="1"/>
  <c r="E253" i="12"/>
  <c r="D224" i="12"/>
  <c r="E223" i="12"/>
  <c r="D346" i="12"/>
  <c r="E345" i="12"/>
  <c r="D179" i="12"/>
  <c r="E178" i="12"/>
  <c r="D74" i="12"/>
  <c r="E73" i="12"/>
  <c r="D202" i="12"/>
  <c r="E201" i="12"/>
  <c r="D135" i="12" l="1"/>
  <c r="E134" i="12"/>
  <c r="E239" i="12"/>
  <c r="D240" i="12"/>
  <c r="E240" i="12" s="1"/>
  <c r="D150" i="12"/>
  <c r="E149" i="12"/>
  <c r="D63" i="12"/>
  <c r="E62" i="12"/>
  <c r="D347" i="12"/>
  <c r="E346" i="12"/>
  <c r="D20" i="12"/>
  <c r="E19" i="12"/>
  <c r="D11" i="12"/>
  <c r="E11" i="12" s="1"/>
  <c r="E10" i="12"/>
  <c r="D75" i="12"/>
  <c r="E75" i="12" s="1"/>
  <c r="E74" i="12"/>
  <c r="D225" i="12"/>
  <c r="E224" i="12"/>
  <c r="E335" i="12"/>
  <c r="D336" i="12"/>
  <c r="E365" i="12"/>
  <c r="D366" i="12"/>
  <c r="E293" i="12"/>
  <c r="D294" i="12"/>
  <c r="D279" i="12"/>
  <c r="E278" i="12"/>
  <c r="D377" i="12"/>
  <c r="E377" i="12" s="1"/>
  <c r="E376" i="12"/>
  <c r="D263" i="12"/>
  <c r="E262" i="12"/>
  <c r="E179" i="12"/>
  <c r="D180" i="12"/>
  <c r="D203" i="12"/>
  <c r="E202" i="12"/>
  <c r="E83" i="12"/>
  <c r="D84" i="12"/>
  <c r="E84" i="12" s="1"/>
  <c r="D64" i="12" l="1"/>
  <c r="E63" i="12"/>
  <c r="E150" i="12"/>
  <c r="D151" i="12"/>
  <c r="E135" i="12"/>
  <c r="D136" i="12"/>
  <c r="E136" i="12" s="1"/>
  <c r="E203" i="12"/>
  <c r="D204" i="12"/>
  <c r="D21" i="12"/>
  <c r="E20" i="12"/>
  <c r="D337" i="12"/>
  <c r="E336" i="12"/>
  <c r="D280" i="12"/>
  <c r="E280" i="12" s="1"/>
  <c r="E279" i="12"/>
  <c r="E347" i="12"/>
  <c r="D348" i="12"/>
  <c r="D226" i="12"/>
  <c r="E225" i="12"/>
  <c r="D181" i="12"/>
  <c r="E180" i="12"/>
  <c r="D295" i="12"/>
  <c r="E294" i="12"/>
  <c r="D367" i="12"/>
  <c r="E366" i="12"/>
  <c r="E263" i="12"/>
  <c r="D264" i="12"/>
  <c r="E151" i="12" l="1"/>
  <c r="D152" i="12"/>
  <c r="E152" i="12" s="1"/>
  <c r="D65" i="12"/>
  <c r="E65" i="12" s="1"/>
  <c r="E64" i="12"/>
  <c r="D227" i="12"/>
  <c r="E226" i="12"/>
  <c r="D349" i="12"/>
  <c r="E348" i="12"/>
  <c r="D338" i="12"/>
  <c r="E338" i="12" s="1"/>
  <c r="E337" i="12"/>
  <c r="D368" i="12"/>
  <c r="E368" i="12" s="1"/>
  <c r="E367" i="12"/>
  <c r="D296" i="12"/>
  <c r="E295" i="12"/>
  <c r="D22" i="12"/>
  <c r="E21" i="12"/>
  <c r="D205" i="12"/>
  <c r="E205" i="12" s="1"/>
  <c r="E204" i="12"/>
  <c r="D265" i="12"/>
  <c r="E264" i="12"/>
  <c r="D182" i="12"/>
  <c r="E181" i="12"/>
  <c r="D23" i="12" l="1"/>
  <c r="E22" i="12"/>
  <c r="D183" i="12"/>
  <c r="E182" i="12"/>
  <c r="D266" i="12"/>
  <c r="E266" i="12" s="1"/>
  <c r="E265" i="12"/>
  <c r="D350" i="12"/>
  <c r="E349" i="12"/>
  <c r="D297" i="12"/>
  <c r="E296" i="12"/>
  <c r="E227" i="12"/>
  <c r="D228" i="12"/>
  <c r="D298" i="12" l="1"/>
  <c r="E297" i="12"/>
  <c r="D184" i="12"/>
  <c r="E183" i="12"/>
  <c r="D351" i="12"/>
  <c r="E350" i="12"/>
  <c r="D229" i="12"/>
  <c r="E228" i="12"/>
  <c r="E23" i="12"/>
  <c r="D24" i="12"/>
  <c r="D185" i="12" l="1"/>
  <c r="E184" i="12"/>
  <c r="D352" i="12"/>
  <c r="E351" i="12"/>
  <c r="D25" i="12"/>
  <c r="E24" i="12"/>
  <c r="D299" i="12"/>
  <c r="E298" i="12"/>
  <c r="D230" i="12"/>
  <c r="E229" i="12"/>
  <c r="D26" i="12" l="1"/>
  <c r="E25" i="12"/>
  <c r="D353" i="12"/>
  <c r="E352" i="12"/>
  <c r="D231" i="12"/>
  <c r="E230" i="12"/>
  <c r="E185" i="12"/>
  <c r="D186" i="12"/>
  <c r="E186" i="12" s="1"/>
  <c r="E299" i="12"/>
  <c r="D300" i="12"/>
  <c r="E300" i="12" s="1"/>
  <c r="E353" i="12" l="1"/>
  <c r="D354" i="12"/>
  <c r="D27" i="12"/>
  <c r="E26" i="12"/>
  <c r="D232" i="12"/>
  <c r="E232" i="12" s="1"/>
  <c r="E231" i="12"/>
  <c r="D28" i="12" l="1"/>
  <c r="E27" i="12"/>
  <c r="D355" i="12"/>
  <c r="E354" i="12"/>
  <c r="D356" i="12" l="1"/>
  <c r="E355" i="12"/>
  <c r="D29" i="12"/>
  <c r="E28" i="12"/>
  <c r="E29" i="12" l="1"/>
  <c r="D30" i="12"/>
  <c r="E30" i="12" s="1"/>
  <c r="D357" i="12"/>
  <c r="E357" i="12" s="1"/>
  <c r="E356" i="12"/>
</calcChain>
</file>

<file path=xl/sharedStrings.xml><?xml version="1.0" encoding="utf-8"?>
<sst xmlns="http://schemas.openxmlformats.org/spreadsheetml/2006/main" count="5053" uniqueCount="1467">
  <si>
    <t>연계 결과를 주기적으로 시스템 관리자 및 내부 시스템 담당자에게 알림 메시지를 전송하는 기능을 제공하여야 함</t>
  </si>
  <si>
    <t xml:space="preserve"> - 메뉴 정보는 동적으로 관리되어야 하고 메뉴 데이터는 사이트 맵과 연계되어 사이트 맵에 자동 반영되어야 함</t>
  </si>
  <si>
    <t xml:space="preserve"> - 자체감사 결과 공개문을 감사사항, 처분요구, 관련기관, 처분유형별로 상세 조회하는 기능을 제공하여야 함</t>
  </si>
  <si>
    <t xml:space="preserve"> - 일별ㆍ시간대별, 기관별ㆍ사용자별, 메뉴별 개인정보 접근기록에 대한 통계를 조회하는 기능을 제공하여야 함</t>
  </si>
  <si>
    <t xml:space="preserve"> - 기획재정부 공공기관 경영정보 공개시스템(ALIO)으로부터 기관 현황을 연계 전송받는 기능을 제공하여야 함</t>
  </si>
  <si>
    <t>홈페이지와의 연계 현황을 관리하는 기능을 제공하여야 함
 ※ 데이터 연계 S/W를 통해 연계 기능을 제공하여야 함</t>
  </si>
  <si>
    <t xml:space="preserve"> - 탐색기 형태의 감사 실무지식 맵 탐색 기능으로 감사 실무지식 유형별로 지식맵 탐색 기능을 제공하여야 함</t>
  </si>
  <si>
    <t>사용자에 따라서 권한을 차등 부여하는 기능을 제공하여야 함</t>
  </si>
  <si>
    <t xml:space="preserve"> - 감사분야, 감사처분종류, 직급 및 감사유형, 일상감사 대상 유형, 민원 관련 항목 등을 관리할 수 있는 기능을 제공하여야 함</t>
  </si>
  <si>
    <t xml:space="preserve"> - 감사대상기관에서 이행상황ㆍ재심의 신청내역을 입력하고 확정하면 감사원 내부 시스템으로 그 내역을 연계 전송하는 기능을 제공하여야 함</t>
  </si>
  <si>
    <t xml:space="preserve"> - 외부 데이터 연계를 위한 OpenAPI 및 OpenAPI Management System(SFR-040)를 제공하여야 함
 ·API 개발과 배포에 대한 관리
 ·컬렉션별 분류관리 기능
 ·API 목록 관리기능, 요청 관리기능, 상세정보 관리기능(개별/일괄)
 ·API 형태로 제공되는 데이터에 대해 추출 및 다운로드 제공
 ·제공하는 연계정보에 대한 모니터링 기능
 ·API에 대한 활용도를 조회
 ·데이터셋 활용에 대한 활용도 조회</t>
  </si>
  <si>
    <t xml:space="preserve"> - 일별ㆍ시간대별, 기관별ㆍ사용자별, 메뉴별 개인정보 접근기록 목록을 조회하는 기능을 제공하여야 함</t>
  </si>
  <si>
    <t>기관별(감사원 및 자체감사기구)로 자체감사 대상기관에 대하여 자료를 요구하고 제출받는 기능을 제공하여야 함</t>
  </si>
  <si>
    <t xml:space="preserve"> - 이행상황을 회보하기 위한 집행 담당자, 감사원 담당자 등 세부정보를 입력하는 기능을 제공하여야 함</t>
  </si>
  <si>
    <t xml:space="preserve"> - 연도별 평가결과를 전체, 심사기준(분야)별ㆍ심사지표별로 비교하고 추이를 분석하는 기능을 구현하여야 함</t>
  </si>
  <si>
    <t>자체감사기구의 다양한 업무환경·절차와 감사원 업무절차를 고려하여 표준화된 감사 프로세스를 설계하여야 함</t>
  </si>
  <si>
    <t xml:space="preserve"> - 지식분류체계 계층구조에 따라서 지식분류체계 코드를 등록하고 관리하는 기능을 제공하여야 함</t>
  </si>
  <si>
    <t xml:space="preserve"> - 자체감사활동 관련 정보를 관리하는 기능을 제공하여야 함
  ·공공감사법 적용 대상기관 및 미적용 대상 목록, 자체감사기구 현황, 자체감사 결과 공개문 등을 관리하는 기능을 제공하여야 함</t>
  </si>
  <si>
    <t xml:space="preserve"> - 유형별(신청에 의한 면책, 직권면책)로 신청, 접수, 처리, 결과 등 절차에 따라 관리하는 기능을 제공하여야 함
 ㆍ감사결과에 따른 처분요구와 연결하여 관리하는 기능을 제공하여야 함</t>
  </si>
  <si>
    <t xml:space="preserve"> - 요구자료에 따라서 제출유형을 관리하는 기능을 제공하여야 함
 ㆍ서식 없이 일반 자료를 제출하는 기능을 제공하여야 함
 ㆍ등록된 제출 서식에 따라 자료를 제출하는 기능을 제공하여야 함</t>
  </si>
  <si>
    <t xml:space="preserve"> - 국가법령정보센터에 등록된 법령을 등록ㆍ관리하는 기능을 제공하여야 함
 ㆍ국가법령정보센터 공동이용센터(OpenAPI 및 OpenAPI Management System(SFR-040))와의 연계를 통해 법령에 대한 변경을 관리하는 기능을 제공하여야 함</t>
  </si>
  <si>
    <t xml:space="preserve"> - 공공감사 관련 정보를 제공하는 기능을 제공하여야 함
  ·공공감사법 제ㆍ개정 취지 및 이력, 주요 내용, 업무 관련 자료 등을 게시ㆍ관리하는 기능을 제공하여야 함
  ·감사연구원의 정책 및 연구보고서를 연계하여 제공하는 기능을 제공하여야 함</t>
  </si>
  <si>
    <t xml:space="preserve"> - 지표별 심사 근거자료를 등록ㆍ관리하는 기능을 제공하여야 함
 ㆍ기한에 따라 등록 기능을 제한하고, 평가자가 등록 기능을 제한하거나 다시 허용할 수 있도록 기능을 제공하여야 함
 ㆍ등록된 자료에 대하여 변경 이력을 관리하는 기능을 제공하여야 함</t>
  </si>
  <si>
    <t xml:space="preserve"> - 설문조사를 진행하고, 마감, 결과관리 및 설문결과 응답통계를 조회하는 기능을 제공하여야 함</t>
  </si>
  <si>
    <t>외부 자체감사기구 시스템으로부터 감사실시 정보를 연계 전송받을 수 있도록 기능을 제공하여야 함</t>
  </si>
  <si>
    <t>외부 자체감사기구 시스템으로부터 적극행정지원 정보를 연계 전송받을 수 있도록 기능을 제공하여야 함</t>
  </si>
  <si>
    <t>외부 자체감사기구 시스템으로부터 감사결과 처리를 연계 전송받을 수 있도록 기능을 제공하여야 함</t>
  </si>
  <si>
    <t>상용 S/W를 통해 기록되는 로그를 바탕으로 시스템 관리자 메뉴에서 확인할 수 있도록 구성하여야 함</t>
  </si>
  <si>
    <t>최신 웹 트렌드를 반영하여 사용자에게 효율적으로 서비스를 제공할 수 있도록 디자인을 제시하고 구현</t>
  </si>
  <si>
    <t>데이터 검색기능을 구현해야 하며 데이터 검색은 제목, 제목+내용, 내용 등으로 다양화하여 구현</t>
  </si>
  <si>
    <t xml:space="preserve"> - 미리보기를 통해 매뉴얼 내용과 관련 법령을 확인하고, 서식을 관리하는 기능을 제공하여야 함</t>
  </si>
  <si>
    <t>내ㆍ외부 시스템으로부터 기관 및 자체감사기구 현황을 연계 전송받을 수 있도록 기능을 제공하여야 함</t>
  </si>
  <si>
    <t>게시판 정렬 기준을 임의 조정할 수 있어야 하며 관리자에 의해 노출 순서의 변경이 가능해야 함</t>
  </si>
  <si>
    <t>기관간 데이터 조회 권한 필요
(기관을 계층으로 관리하여, 시스템 사용 권한, 데이터 조회 권한이 상하로 전파될 수 있도록 구현)</t>
  </si>
  <si>
    <r>
      <t xml:space="preserve"> - 요구한 기관에 대하여 수신여부를 포함하여 제출현황(접수, 미접수, 미해당, 미제출, 반려 등)을 확인할 수 있는 기능을 제공하여야 함
</t>
    </r>
    <r>
      <rPr>
        <sz val="10"/>
        <color rgb="FFFF0000"/>
        <rFont val="맑은 고딕"/>
        <family val="3"/>
        <charset val="129"/>
      </rPr>
      <t xml:space="preserve"> ㆍ제출한 자료의 미리보기를 통해서 유효성을 확인하는 기능을 구현하여야 함</t>
    </r>
  </si>
  <si>
    <t xml:space="preserve"> - 메일ㆍ문자메시지 발송지연 및 미발송 등을 사전 감지할 수 있도록 모니터링 기능을 제공하여야 함</t>
  </si>
  <si>
    <t xml:space="preserve"> - 기관별로 증거서류 표준양식에 대하여 업로드, 다운로드 및 변경 이력을 관리하는 기능을 제공하여야 함
 ㆍ처분요구 제목, 관련자 인적사항을 토대로 표준양식에 기재된 상태로 다운로드하는 기능을 제공하여야 함</t>
  </si>
  <si>
    <t xml:space="preserve"> - 사용자가 감사활동 혁신 사례를 등록하는 기능을 제공하여야 함
 ㆍ제출된 자료는 미리보기를 통해서 가독성 있게 확인하는 기능을 제공하여야 함
 ㆍ공유된 자료별로 사용자들이 댓글을 입력하는 기능을 제공하여야 함</t>
  </si>
  <si>
    <t xml:space="preserve"> - 일상감사 현황을 관리하는 기능을 제공하여야 함
 ㆍ기관별 대상업무(주요 정책의 집행, 계약, 예산관리 등)를 등록ㆍ관리하는 기능을 제공하여야 함
 ㆍ감사의견 및 실시결과를 등록ㆍ관리하는 기능을 제공하여야 함</t>
  </si>
  <si>
    <t xml:space="preserve"> - 기획재정부 알리오플러스로부터 OpenAPI 및 OpenAPI Management System(SFR-040) 또는 자체 연계를 통해 공공기관의 감사 관련 뉴스, 동향, 이슈 등을 수신하는 기능을 제공하여야 함</t>
  </si>
  <si>
    <t>- 현) 감사원 전용 &gt; 비대면감사 등 혁신사례 &gt; 자체감사활동 콘테스트
- 현) 시스템관리 &gt; 시스템 운영 &gt; 공지사항관리
 *현재는 콘테스트 결과만 등록 관리하며, 오프라인으로 평가함
- 표준업무프로세스 개발</t>
  </si>
  <si>
    <t>SW아키텍처설계서를 기준으로 개발환경이 구현되었는지 확인한다.</t>
  </si>
  <si>
    <t>연계 Agent의 상태를 모니터링 하는 기능을 제공하여야 함</t>
  </si>
  <si>
    <t>감사 실무지식 체계를 수립하고, 관리하는 기능을 제공하여야 함</t>
  </si>
  <si>
    <t>자체감사활동 심사계획을 수립할 수 있는 기능을 제공하여야 함</t>
  </si>
  <si>
    <t>신분상의 조치를 한 날이 속하는 달의 다음 달 10일 이내</t>
  </si>
  <si>
    <t>시스템 사용자에게 필요한 정보를 안내하는 기능을 제공하여야 함</t>
  </si>
  <si>
    <t>내ㆍ외부 시스템에 대한 연계정보를 관리하는 기능을 제공하여야 함</t>
  </si>
  <si>
    <t xml:space="preserve"> - 계약ㆍ재산교환 현황을 등록ㆍ관리하는 기능을 제공하여야 함</t>
  </si>
  <si>
    <t>입력된 자료를 바탕으로 기안하고 결재하는 기능을 제공하여야 함</t>
  </si>
  <si>
    <t>감사원에 통보하는 감사활동정보를 관리하는 기능을 제공하여야 함</t>
  </si>
  <si>
    <t>회계감사의 절차에 따른 감사업무를 관리하는 기능을 제공하여야 함</t>
  </si>
  <si>
    <t>그래프, 다이어그램 등으로 시각화하는 기능을 제공하여야 함</t>
  </si>
  <si>
    <t>자체감사활동 심사결과를 등록ㆍ관리하는 기능을 제공하여야 함</t>
  </si>
  <si>
    <t>전체적으로 안정적이고 시선 흐름에 따른 콘텐츠 배치를 해야 함</t>
  </si>
  <si>
    <t>감사원 및 감사담당자 연락망을 조회하는 기능을 제공하여야 함</t>
  </si>
  <si>
    <t xml:space="preserve"> - 감사결과를 시행한 내역을 관리하는 기능을 제공하여야 함</t>
  </si>
  <si>
    <t>정보자원관리원 서비스 확인 필요
- SMS발송 기능은 현재 있음</t>
  </si>
  <si>
    <t>Controller API문서
(Comment 작성 표준 마련)</t>
  </si>
  <si>
    <t xml:space="preserve"> - 기관별로 규정ㆍ서식을 등록ㆍ변경하는 기능을 제공하여야 함</t>
  </si>
  <si>
    <t>- 현) 시스템운영 &gt; 기관별 운영관리 &gt; 시스템 이용현황 관리</t>
  </si>
  <si>
    <t xml:space="preserve"> - 대화 중 예상질문 또는 정보를 사전에 제공하는 기능 제공</t>
  </si>
  <si>
    <t>현) 시스템운영 &gt; 기관별 운영관리 &gt; 기관별 업무코드관리</t>
  </si>
  <si>
    <t xml:space="preserve"> - 감사자별 처분요구 실적을 조회하는 기능을 제공하여야 함</t>
  </si>
  <si>
    <t xml:space="preserve"> - 공공감사법 대상 기관을 조회하는 기능을 제공하여야 함</t>
  </si>
  <si>
    <t>나라배움터연계?
 - 이미 나라배움터가 있는데 별도 관리 필요?</t>
  </si>
  <si>
    <t xml:space="preserve"> - 예측하지 못한 사용자 대화에 대한 예외 처리 기능 제공</t>
  </si>
  <si>
    <t>자료의 전송속도 및 전송량 등을 고려하여 경량화된 이미지 구성</t>
  </si>
  <si>
    <t>홈페이지에 게시된 정보를 상세 검색하는 기능을 제공하여야 함</t>
  </si>
  <si>
    <t xml:space="preserve"> - 검색어 조합에 의한 조회 및 출력하는 기능을 제공하여야 함</t>
  </si>
  <si>
    <t xml:space="preserve"> - 연도별 제출한 심사자료를 관리하는 기능을 제공하여야 함</t>
  </si>
  <si>
    <t xml:space="preserve"> - 자체감사기구의 장 현황을 관리하는 기능을 제공하여야 함</t>
  </si>
  <si>
    <t xml:space="preserve"> - 질의 유사도 기반 유사 질문 추출 및 답변 기능 제공</t>
  </si>
  <si>
    <t xml:space="preserve"> - 알림ㆍ통지를 위한 서식을 관리하는 기능을 제공하여야 함</t>
  </si>
  <si>
    <r>
      <t xml:space="preserve"> - </t>
    </r>
    <r>
      <rPr>
        <sz val="10"/>
        <color rgb="FFFF0000"/>
        <rFont val="맑은 고딕"/>
        <family val="3"/>
        <charset val="129"/>
      </rPr>
      <t>확정된 정보</t>
    </r>
    <r>
      <rPr>
        <sz val="10"/>
        <color rgb="FF000000"/>
        <rFont val="맑은 고딕"/>
        <family val="3"/>
        <charset val="129"/>
      </rPr>
      <t>는 다시 수정할 수 없도록 기능을 제한하여야 함</t>
    </r>
  </si>
  <si>
    <t>개인정보 탐지(조달구매)
개인정보 접속 기록관리(조달구매)</t>
  </si>
  <si>
    <t xml:space="preserve"> - 설문조사, 기관별 대책 회신 등의 기능을 제공하여야 함</t>
  </si>
  <si>
    <t>현) 자체감사 &gt; 연간감사계획 &gt; 초안
 * 이력관리 없음</t>
  </si>
  <si>
    <t>- 현) 시스템운영 &gt; 기관별 운영관리 &gt; 기관별 사용자관리</t>
  </si>
  <si>
    <t>연계 Agent의 상태를 모니터링하는 기능을 제공하여야 함</t>
  </si>
  <si>
    <t xml:space="preserve"> - 사용자 유형에 따라 분류하여 표시하는 기능을 제공하여야 함</t>
  </si>
  <si>
    <t xml:space="preserve"> - 시스템 관리자가 메뉴를 관리할 수 있는 기능을 제공하여야 함
 ㆍ기관별로 사용할 메뉴(기능)를 관리하는 기능을 제공하여야 함</t>
  </si>
  <si>
    <t xml:space="preserve"> - 영문홈페이지의 UI/UX는 국문 홈페이지와 통일되어야 함
  ·국문 홈페이지에 구성된 모든 기능을 영문으로 전환하여 구성하여야 함</t>
  </si>
  <si>
    <t xml:space="preserve"> - 개인정보가 포함되어 있는지 검출하는 기능을 제공하여야 함
 ㆍ사용자 확인을 통하여 익명으로 전환할지 여부를 선택할 수 있는 기능을 제공하여야 함
 ㆍ검출된 이력을 바탕으로 유효한 결과에 대하여만 저장하는 등 분석된 이력에 기반하여 검출기능이 제고될 수 있는 기능을 제공하여야 함</t>
  </si>
  <si>
    <t xml:space="preserve"> - 감사원에서 감사실시기관에 감사(대행ㆍ위탁감사 등)를 의뢰하는 기능을 제공하여야 함
 ㆍ온-나라 연계 기안을 통해 결재하는 기능을 제공하여야 함
 ㆍ결재자는 감사원 내부 시스템 및 내부 메신저 등을 통해 알림을 제공받고 내부 시스템에서 결재 처리할 수 있도록 하여야 함</t>
  </si>
  <si>
    <t xml:space="preserve"> - 공통요소를 도출하고 개발해야 하며 공통요소의 관리방안 및 재사용을 위한 운영방안을 제시해야 함</t>
  </si>
  <si>
    <t xml:space="preserve"> - 감사원 내부 시스템으로부터 감사교육원 교육이수 현황을 연계 전송받는 기능을 제공하여야 함</t>
  </si>
  <si>
    <r>
      <t xml:space="preserve"> - 심사결과 처리를 관리하는 기능을 제공하여야 함
 ㆍ심사결과 보고서를 작성하는 기능을 제공하여야 함
 ㆍ온-나라 연계 기안을 통해 결재하는 기능을 제공하여야 함
 ㆍ결재자는 감사원 내부 시스템 및 내부 메신저 등을 통해 알림을 제공받고 </t>
    </r>
    <r>
      <rPr>
        <sz val="10"/>
        <color rgb="FFFF0000"/>
        <rFont val="맑은 고딕"/>
        <family val="3"/>
        <charset val="129"/>
      </rPr>
      <t>내부 시스템에서 결재 처리</t>
    </r>
    <r>
      <rPr>
        <sz val="10"/>
        <color rgb="FF000000"/>
        <rFont val="맑은 고딕"/>
        <family val="3"/>
        <charset val="129"/>
      </rPr>
      <t>할 수 있도록 하여야 함</t>
    </r>
  </si>
  <si>
    <t xml:space="preserve"> - 자체감사기구의 감사담당자 현황을 관리하는 기능을 제공하여야 함
 ㆍ감사담당자의 근무경력, 교육현황 등 상세정보를 관리하는 기능을 제공하여야 함
 ㆍ자체감사기구의 서열(직급, 직위, 업무 및 역할 등)에 따라 감사담당자 명부의 순서를 지정할 수 있는 기능을 제공하여야 함
 ㆍ신규 감사담당자 명부를 기반으로 시스템 사용자를 등록하는 기능을 제공하여야 함</t>
  </si>
  <si>
    <t xml:space="preserve"> - 데이터 표준 및 품질관리, UI/UX 개발 도구, 리포팅 도구, 사용자 인증, 시큐어코딩, DB암호화 등 연관 소프트웨어와 연계를 위한 Adaptor 및 API를 제공하여야 함
 ㆍ연계 소프트웨어로부터 Adaptor 및 API를 제공받을 시에는 프레임워크와의 연계를 위한 기술지원을 제공하여야 함
 ㆍ연계를 위한 모든 제반 비용은 사업자가 부담함</t>
  </si>
  <si>
    <t>현) 커뮤니티 &gt; 지식공유 &gt; 감시 관련 법령.지침
 * 법령관리기능 - 자체정보관리, 연계정보관리 (연계대상 법 범위 결정 필요)</t>
  </si>
  <si>
    <t xml:space="preserve"> - 감사 실무지식에 대한 연관 지식(관계법령, 감사기법, 감사사례, 결정례, 전문가 넷 등)을 등록 및 관리하는 기능을 제공하여야 함</t>
  </si>
  <si>
    <t>감사결과 사후관리가 등록된 경우 사용자에게 알림을 전송하는 기능을 제공하여야 함
  ※ 데이터 연계 S/W를 통해 연계 기능을 제공</t>
  </si>
  <si>
    <t xml:space="preserve"> - 평가에 따라서 제출된 자료를 공유하는 기능을 제공하여야 함
 ㆍ공유된 자료별로 사용자들이 댓글을 입력하는 기능을 제공하여야 함</t>
  </si>
  <si>
    <t xml:space="preserve"> - 원본파일 및 PDF로 변환된 파일을 저장하는 기능을 제공하여야 함
  ※ 문서변환 S/W를 통해 PDF로 변환하는 기능을 제공</t>
  </si>
  <si>
    <t xml:space="preserve"> - 감사계획, 실시 등 기존에 입력된 데이터를 바탕으로 각 심사지표에 필요한 증빙으로 자동 추출될 수 있도록 기능을 제공하여야 함</t>
  </si>
  <si>
    <t xml:space="preserve"> - 감사계획 대비 실적, 감사종류별 실적, 처분요구 유형별 현황, 수감기관별 감사실적 등을 종합하여 조회하는 기능을 제공하여야 함</t>
  </si>
  <si>
    <t xml:space="preserve"> - 감사계획, 준비, 실시, 결과 처리, 시행 및 공개, 사후관리 등 절차별로 자체감사기구의 업무를 반영한 표준화를 진행하여야 함</t>
  </si>
  <si>
    <t>(공통기능)개인정보 열람이력 기록/관리
현) 감사원통보 &gt; 범죄,징계,손망실,소송상황,계약,재산교환통보
현) 자체감사 &gt; 일상감사</t>
  </si>
  <si>
    <t xml:space="preserve"> - 특정한 사유가 있어 개인정보에 접근ㆍ조회하는 경우, 사용자로부터 접근사유를 기재하고 시스템 관리자가 확인하는 기능을 제공하여야 함</t>
  </si>
  <si>
    <t xml:space="preserve"> - 유형별 작성된 증거서류에 대하여 업로드, 다운로드 및 변경 이력을 관리하는 기능을 제공하여야 함
  ※ 문서변환 S/W를 통해 업로드된 PDF 문서로 변경하여 저장하고, 문서관리 S/W를 통해 서버 내 문서관리 기능 제공</t>
  </si>
  <si>
    <t xml:space="preserve"> - 감사계획이 중복되는 경우 중복된 기관들이 협의ㆍ조정할 수 있도록 기능을 제공하여야 함
 ㆍ중복된 기관들에 관련 감사정보를 제공하고 담당자에게 알림을 제공하여야 함
 ㆍ협의 후 결과를 입력할 수 있는 기능을 제공하여야 함</t>
  </si>
  <si>
    <t>현) 자체감사 &gt; 적극행정지원 &gt; 적극행정면책
 * 신청에 의한 면책의 겨우 사용자가 신청할 수 있는 기능 제공을 의미하는 듯 함 
현) 자체감사 &gt; 감사계획.실시.결과 &gt; 상세화면에서 지적사항에 적극행정면책 내용을 연결함</t>
  </si>
  <si>
    <t xml:space="preserve"> - 교육과정을 등록하는 기능을 제공하여야 함
 ㆍ교육과정 기본정보(교육기관, 교육구분, 교육과정명, 교육유형, 인정시간, 교육 시작/종료 일자 및 시간, 교육장소, 일괄신청 허용여부) 등록 및 관리하는 기능을 제공하여야 함</t>
  </si>
  <si>
    <r>
      <t xml:space="preserve"> - 감사계획이 중복되는 경우 중복된 기관들이 협의ㆍ조정할 수 있도록 기능을 제공하여야 함
 ㆍ중복된 기관들에 관련 감사정보를 제공하고 </t>
    </r>
    <r>
      <rPr>
        <sz val="10"/>
        <color rgb="FFFF0000"/>
        <rFont val="맑은 고딕"/>
        <family val="3"/>
        <charset val="129"/>
      </rPr>
      <t>담당자에게 알림</t>
    </r>
    <r>
      <rPr>
        <sz val="10"/>
        <color rgb="FF000000"/>
        <rFont val="맑은 고딕"/>
        <family val="3"/>
        <charset val="129"/>
      </rPr>
      <t>을 제공하여야 함
 ㆍ협의 후 결과를 입력할 수 있는 기능을 제공하여야 함</t>
    </r>
  </si>
  <si>
    <r>
      <t xml:space="preserve"> - 교육과정을 등록하는 기능을 제공하여야 함
 ㆍ교육과정 기본정보(교육기관, 교육구분, 교육과정명, 교육유형, 인정시간, 교육 시작/종료 일자 및 시간, 교육장소, </t>
    </r>
    <r>
      <rPr>
        <sz val="10"/>
        <color rgb="FFFF0000"/>
        <rFont val="맑은 고딕"/>
        <family val="3"/>
        <charset val="129"/>
      </rPr>
      <t>일괄신청</t>
    </r>
    <r>
      <rPr>
        <sz val="10"/>
        <color rgb="FF000000"/>
        <rFont val="맑은 고딕"/>
        <family val="3"/>
        <charset val="129"/>
      </rPr>
      <t xml:space="preserve"> 허용여부) 등록 및 관리하는 기능을 제공하여야 함</t>
    </r>
  </si>
  <si>
    <t>- 현) 시스템운영 &gt; 기관별 운영관리 &gt; 기관별 업무코드관리
- 규정 및 서식 관리 기능 추가</t>
  </si>
  <si>
    <t>현) 없음
 * 전자감사시스템 참고</t>
  </si>
  <si>
    <t>네이버지식인참고하여 설계 필요</t>
  </si>
  <si>
    <t>전자정부표준프레임워크 공통컴포넌트</t>
  </si>
  <si>
    <t>공공감사정보시스템 재구축 사업</t>
  </si>
  <si>
    <t>발송지연을 확인할 수 있는가?</t>
  </si>
  <si>
    <t>- 현) 시스템관리 &gt; 시스템 운영</t>
  </si>
  <si>
    <t>매 분기 말의 다음 달 10일 이내</t>
  </si>
  <si>
    <t>개인정보 탐지 및 접속기록 관리</t>
  </si>
  <si>
    <t>내부결재로 온나라 연계를 대신함.</t>
  </si>
  <si>
    <t>프로세스정의서(BPMN 2.0)</t>
  </si>
  <si>
    <t>현) 기관현황 &gt; 자체감사기구</t>
  </si>
  <si>
    <t>화면디자인가이드
화면설계가이드</t>
  </si>
  <si>
    <t>연계솔루션(조달구매)
OpenAPI</t>
  </si>
  <si>
    <t>망실 또는 훼손 사실 발견 즉시</t>
  </si>
  <si>
    <t>알림을 수신받는 사용자는 누가?</t>
  </si>
  <si>
    <t>처리기한에 따른 업무관리 지원</t>
  </si>
  <si>
    <t>자체감사활동 심사실시 및 결과</t>
  </si>
  <si>
    <t>감사계획 실시 결과 중 자체감사계획</t>
  </si>
  <si>
    <t>감사계획실시 결과 중 자체감사결과</t>
  </si>
  <si>
    <t>감사결과 통보 후 10일 이내</t>
  </si>
  <si>
    <t>자체감사기구의 설치 및 운영 현황</t>
  </si>
  <si>
    <t>설치 및 변동 후 10일 이내</t>
  </si>
  <si>
    <t>공공감사 홈페이지 디자인 적용</t>
  </si>
  <si>
    <t>챗봇</t>
  </si>
  <si>
    <t>2.1</t>
  </si>
  <si>
    <t>순번</t>
  </si>
  <si>
    <t>작성자</t>
  </si>
  <si>
    <t>분류</t>
  </si>
  <si>
    <t>2.3</t>
  </si>
  <si>
    <t>1.8</t>
  </si>
  <si>
    <t>서명란</t>
  </si>
  <si>
    <t>비고</t>
  </si>
  <si>
    <t>1.1</t>
  </si>
  <si>
    <t>1.6</t>
  </si>
  <si>
    <t>연번</t>
  </si>
  <si>
    <t>CMS</t>
  </si>
  <si>
    <t>2.5</t>
  </si>
  <si>
    <t>1.4</t>
  </si>
  <si>
    <t>1.2</t>
  </si>
  <si>
    <t>공통</t>
  </si>
  <si>
    <t>1.3</t>
  </si>
  <si>
    <t>작성일</t>
  </si>
  <si>
    <t>1.9</t>
  </si>
  <si>
    <t>승인자</t>
  </si>
  <si>
    <t>1.5</t>
  </si>
  <si>
    <t>2.2</t>
  </si>
  <si>
    <t>수시</t>
  </si>
  <si>
    <t>운영중</t>
  </si>
  <si>
    <t>1.7</t>
  </si>
  <si>
    <t>버전</t>
  </si>
  <si>
    <t>구분</t>
  </si>
  <si>
    <t>승인용</t>
  </si>
  <si>
    <t>2.4</t>
  </si>
  <si>
    <t>미완료</t>
  </si>
  <si>
    <t xml:space="preserve"> - 시스템에 등록한 사용자 목록을 조회하고, 사용자 계정 등록 또는 해지요청 등에 대한 승인처리 기능을 제공하여야 함
 ㆍ신규 명부 공문 접수ㆍ처리, 소속기관 변경요청 조회ㆍ승인 기능을 제공하여야 함</t>
  </si>
  <si>
    <t>자체감사기구의 업무에 따라 기관별, 기관 유형별 업무를 등록하고 관리하는 기능을 제공하여야 함</t>
  </si>
  <si>
    <t xml:space="preserve"> - 연간감사계획에 근거하여 감사결과에 따른 처분요구와 연결하여 관리하는 기능을 제공하여야 함</t>
  </si>
  <si>
    <t xml:space="preserve"> - 일별, 월별, 연도별, 기관별, 메뉴별 접속 및 활동 추이를 분석하는 기능을 제공하여야 함</t>
  </si>
  <si>
    <t>｢공공감사에 관한 법률｣ 적용 기관 및 자체감사 대상기관 현황을 관리하는 기능을 제공하여야 함</t>
  </si>
  <si>
    <t xml:space="preserve"> - 감사인 선정(변경 포함), 감사 계약, 재선정 계획 등을 등록·관리하는 기능을 제공하여야 함</t>
  </si>
  <si>
    <t>기관별 사용자 유형에 따라서 메일 및 문자메시지(SMS, LMS)를 전송하는 기능을 제공하여야 함</t>
  </si>
  <si>
    <t>대내연계 송수신 상태(성공/실패 여부)를 관리하고 실패 내용을 재전송 처리하는 기능을 제공하여야 함</t>
  </si>
  <si>
    <t xml:space="preserve"> - 감사계획 중복 여부 및 협의 결과를 감사원 담당자가 모니터링하고 조정하는 기능을 제공하여야 함</t>
  </si>
  <si>
    <t>외부 자체감사기구 시스템으로부터 세부 감사계획을 연계 전송받을 수 있도록 기능을 제공하여야 함</t>
  </si>
  <si>
    <t>위 등록된 감사활동정보 외에 필요에 따라 감사원에 통보하는 사항을 추가하는 기능을 제공하여야 함</t>
  </si>
  <si>
    <t xml:space="preserve"> - 질의ㆍ답변을 위한 메시지 송수신 기능을 제공하여야 함</t>
  </si>
  <si>
    <t>기관별 사용자에게 필요한 정보를 안내하는 기능을 제공하여야 함</t>
  </si>
  <si>
    <t>상용 S/W와의 호환성을 고려하여 개발환경을 구성하여야 함</t>
  </si>
  <si>
    <t>감사결과 보고서를 작성하고, 등록ㆍ관리하는 기능을 제공하여야 함</t>
  </si>
  <si>
    <t>처리기한별로 대상업무를 등록ㆍ관리하는 기능을 제공하여야 함</t>
  </si>
  <si>
    <t xml:space="preserve"> - 검색기능의 경우 국문 홈페이지로 이동하도록 구현하여야 함</t>
  </si>
  <si>
    <t>사용자의 첨부파일을 다운로드를 관리하는 기능을 제공하여야 함</t>
  </si>
  <si>
    <t xml:space="preserve"> - 사용자가 통계 서식을 생성, 수정하는 기능을 제공하여야 함</t>
  </si>
  <si>
    <t>각 절차에 대하여 자료를 요구하고 제출받는 기능을 제공하여야 함</t>
  </si>
  <si>
    <t xml:space="preserve"> - 이용자의 편의성을 고려한 메뉴 및 화면 재구성을 하여야 함</t>
  </si>
  <si>
    <t xml:space="preserve"> - 처분요구를 일괄등록하는 기능을 제공하여야 함
 ㆍ첨부파일을 포함하여 Excel을 이용하여 일괄등록하는 기능을 제공하여야 함
 ㆍ유효한 데이터가 입력되었는지 등록 결과를 사용자가 확인할 수 있는 기능을 제공하여야 함</t>
  </si>
  <si>
    <t xml:space="preserve"> - 시스템 이용자 전체를 대상으로 사용자 유형을 구분하여야 하고, 사용자 유형별로 그룹을 설정ㆍ관리하는 기능과 사용자별ㆍ그룹별 권한을 차등 부여하는 기능을 제공하여야 함</t>
  </si>
  <si>
    <t xml:space="preserve"> - 심사결과 처리를 관리하는 기능을 제공하여야 함
 ㆍ심사결과 보고서를 작성하는 기능을 제공하여야 함
 ㆍ온-나라 연계 기안을 통해 결재하는 기능을 제공하여야 함
 ㆍ결재자는 감사원 내부 시스템 및 내부 메신저 등을 통해 알림을 제공받고 내부 시스템에서 결재 처리할 수 있도록 하여야 함</t>
  </si>
  <si>
    <t xml:space="preserve"> - 시스템을 관리하는 기능을 제공하여야 함
  ·관련기관 사이트 정보를 제공하는 기능을 제공하여야 함
  ·공지사항을 관리하는 기능을 제공하여야 함
  ·사용자 접속 및 홈페이지 내 활동 정보를 조회하는 기능을 제공하여야 함
  ·일 단위로 내부망 정보를 외부망에 동기화하는 기능을 제공하여야 함</t>
  </si>
  <si>
    <t xml:space="preserve"> - 검색을 위한 태그 및 색인을 관리하는 기능을 제공하여야 함
 ㆍ감사 처분요구별로 키워드 및 정당론 관련 법령에 따라서 색인할 수 있는 기능을 제공하여야 함
 ㆍ감사 처분요구서(파일형태)를 본문검색하여 특정기호로 되어 있는 구분자를 통해 정당론 관련 법령을 색인으로 추출하는 기능을 제공하여야 함(예. ｢국가계약법｣, ｢국가계약법｣에서 ｢｣, ｢｣를 구분자로 지정하고 검색하여 “국가계약법”을 색인으로 추출)</t>
  </si>
  <si>
    <t xml:space="preserve"> - 분야별 감사전문가를 등록ㆍ관리하는 기능을 제공하여야 함
 ㆍ감사전문가의 기본정보 및 연락정보를 등록, 조회, 변경, 삭제 등 관리하는 기능을 제공하여야 함</t>
  </si>
  <si>
    <t>현행 시스템 UI/UX 분석, 조직/사용자 특성/Workflow 조사 및 분석, 사용자 스토리/스토리텔링을 활용한 인터뷰 등 수행 내역을 바탕으로 구축해야 함</t>
  </si>
  <si>
    <t xml:space="preserve"> - 제보자가 제보내용(신고유형, 제목, 대상자, 시기, 장소, 구체적 내용, 관련자, 파악경위, 지속기간) 및 관련 첨부파일을 등록하는 기능을 제공하여야 함 </t>
  </si>
  <si>
    <t xml:space="preserve"> - 통보수단(시스템, 문자메시지, 메일 등), 대상유형(기관별 시스템 담당자, 일상감사 담당자 등) 등 알림에 대한 기준정보를 관리하는 기능을 제공하여야 함</t>
  </si>
  <si>
    <r>
      <t xml:space="preserve"> - </t>
    </r>
    <r>
      <rPr>
        <sz val="10"/>
        <color rgb="FFFF0000"/>
        <rFont val="맑은 고딕"/>
        <family val="3"/>
        <charset val="129"/>
      </rPr>
      <t>과정차수를 생성하는 기능</t>
    </r>
    <r>
      <rPr>
        <sz val="10"/>
        <color rgb="FF000000"/>
        <rFont val="맑은 고딕"/>
        <family val="3"/>
        <charset val="129"/>
      </rPr>
      <t>을 제공하여야 함
 ㆍ월별 교육과정의 정원에 따른 교육차수 생성 (차수, 교육 시작/종료 일자 및 시간 등 등록 및 관리하는 기능</t>
    </r>
  </si>
  <si>
    <t xml:space="preserve"> - 심사계획 및 기준을 등록ㆍ관리하는 기능을 제공하여야 하고, 심사계획 및 기준에 따라 자료요구를 하고, 심사 대상기관이 제출할 수 있는 기능을 제공하여야 함</t>
  </si>
  <si>
    <t xml:space="preserve"> - 중앙행정기관, 지자체, 공공기관의 감사 관련 뉴스, 동향, 이슈 등을 각 기관의 홈페이지를 크롤링 하는 등의 방법으로 제공받아 게시하는 기능을 제공하여야 함</t>
  </si>
  <si>
    <t xml:space="preserve"> - 과정차수를 생성하는 기능을 제공하여야 함
 ㆍ월별 교육과정의 정원에 따른 교육차수 생성 (차수, 교육 시작/종료 일자 및 시간 등 등록 및 관리하는 기능</t>
  </si>
  <si>
    <t xml:space="preserve"> - 기관코드를 기반으로 자체감사기구를 등록ㆍ변경하는 기능을 제공하여야 한다. 이때 자체감사기구 등록ㆍ관리를 위한 기관코드를 별도 제시할 수 있으며, 감사원 업무시스템의 기관코드와 연계되어야 함</t>
  </si>
  <si>
    <t>감사 표준양식 정의
각 기관별 감사표준절차 정의
*증거서류 편집의 범위는?(전자감사는 증거서류에 Annotation을 추가하고, 감사문서 해당 위치(링크)를 추가하는 형식으로 편집기능을 제공함)</t>
  </si>
  <si>
    <t xml:space="preserve"> - 연계기관 및 연계기관 담당자 정보, 연계정보 유형(이행상황, 감사계획관리 등), 연계정보별 연계 대상항목, 연계정보별 연계주기(실시간, 배치시 연계주기 등) 등을 관리하는 기능을 제공하여야 함</t>
  </si>
  <si>
    <t xml:space="preserve"> - 공지에 대한 수신여부를 확인하는 등 자료(계획서, 결과보고서, 처분요구, 후기 등)를 제출받는 기능을 제공하여야 함
 ㆍ제출된 자료는 미리보기를 통해서 가독성 있게 확인하는 기능을 제공하여야 함</t>
  </si>
  <si>
    <t xml:space="preserve"> - 감사원 시스템 관리자, 감사원 일반 사용자, 자체감사기구 시스템 관리자, 자체감사기구 일반 사용자, 자체감사기구 외 사용자 등으로 구분하고, 접근 권한을 차등 부여하는 기능을 제공하여야 함</t>
  </si>
  <si>
    <t xml:space="preserve"> - 보안이 더 강화된 파일의 경우 PDF로 변환된 파일을 사용자 PC에 다운로드 하지 않고 스트리밍 방식으로 열람하는 기능을 제공하여야 함
  ※ 문서 스트리밍 S/W를 통해 스트리밍 기능을 제공</t>
  </si>
  <si>
    <t xml:space="preserve"> - 시스템 관리자는 자체감사기구 및 감사원을 대상으로 제보된 사건에 대하여 담당자를 지정하는 기능을 제공하여야 함</t>
  </si>
  <si>
    <t xml:space="preserve"> - 파일을 저장하는 경우 문서관리 체계에 따라서 분류된 스토리지 공간에 저장될 수 있도록 체계적으로 관리하여야 함</t>
  </si>
  <si>
    <t xml:space="preserve"> - 영문 콘텐츠는 현행 운영중인 콘텐츠를 최대한 활용하고 주관기관의 요청에 따라 콘텐츠를 최신 형태로 변경해야 함.</t>
  </si>
  <si>
    <t xml:space="preserve"> - 과거 및 최근에 수립ㆍ등록한 연간감사계획을 연도별ㆍ기관별ㆍ분야별로 조회 및 확인할 수 있는 기능을 제공하여야 함 </t>
  </si>
  <si>
    <t xml:space="preserve"> - 감사결과 공개문을 작성하는 기능을 제공하여야 함
 ㆍ문서 내 개인정보 포함 여부를 확인하는 기능을 제공하여야 함</t>
  </si>
  <si>
    <t xml:space="preserve"> - 기관별ㆍ감사그룹별ㆍ개인별로 그룹화하여 건별 진행상태를 조회하고 업무처리 결과에 따라 현행화하는 기능을 제공하여야 함</t>
  </si>
  <si>
    <t xml:space="preserve"> - 결재자는 결재정보가 입력되면 문자메시지 등으로 알림을 제공받고, 승인·반려 등으로 결재하는 기능을 제공하여야 함</t>
  </si>
  <si>
    <t>웹 브라우저 상에서 스프레드시트, 프레젠테이션 파일의 생성, 편집, 저장이 가능한 온라인 문서 편집 기능을 제공하여야 함</t>
  </si>
  <si>
    <t xml:space="preserve"> - 유형별 처분요구 사항에 대한 공개 여부(비공개 사유 관리 포함)를 선택하고 공개문을 작성하는 기능을 제공하여야 함</t>
  </si>
  <si>
    <t xml:space="preserve"> - 감사결과 사후관리(이행상황 및 재심의) 기능을 제공하여야 함</t>
  </si>
  <si>
    <t xml:space="preserve"> - 처분요구, 직급 등 기관별 코드를 관리하는 기능을 제공하여야 함</t>
  </si>
  <si>
    <t xml:space="preserve">  - 줄 간격, 문단간격, 줄 문단의 세로 맞춤 기능을 제공하여야 함</t>
  </si>
  <si>
    <t xml:space="preserve"> - 기관별, 개인별 활동내역을 조회하고 평가하는 기능을 제공하여야 함</t>
  </si>
  <si>
    <t xml:space="preserve"> - 메뉴마다 참고할 수 있는 매뉴얼을 관리하는 기능을 제공하여야 함</t>
  </si>
  <si>
    <t xml:space="preserve"> - 유형별, 분야별로 사례를 등록ㆍ변경하는 기능을 제공하여야 함</t>
  </si>
  <si>
    <t xml:space="preserve"> - 자주하는 질문ㆍ답변(FAQ)을 등록ㆍ조회하는 기능을 제공하여야 함</t>
  </si>
  <si>
    <t xml:space="preserve"> - 지표별 평가점수 및 근거를 등록ㆍ변경하는 기능을 제공하여야 함</t>
  </si>
  <si>
    <t xml:space="preserve"> - 모든 페이지는 플러그인·어도비 Flash 파일을 배제하여 구성</t>
  </si>
  <si>
    <t xml:space="preserve"> - 검색엔진 운영현황을 실시간 모니터링하는 기능을 제공하여야 함</t>
  </si>
  <si>
    <t xml:space="preserve"> - 처분요구, 직급 등 공통코드를 관리하는 기능을 제공하여야 함</t>
  </si>
  <si>
    <t xml:space="preserve"> - 건별 조회기록 관련 상세내역을 조회하는 기능을 제공하여야 함</t>
  </si>
  <si>
    <t>솔루션을 적용하고, 솔루션이 제공하는 기능에 한정하여 기능 제공함</t>
  </si>
  <si>
    <t xml:space="preserve">  - 스프레드시트는 함수, 필터, 피봇 등의 기능을 제공하여야 함</t>
  </si>
  <si>
    <t xml:space="preserve"> - 자료보완 요구 및 처리결과는 공공감사 홈페이지로 연계전송하여야 함</t>
  </si>
  <si>
    <t xml:space="preserve"> - 사용자별 제출 서식을 생성하고 관리하는 기능을 제공하여야 함</t>
  </si>
  <si>
    <t xml:space="preserve"> - 심사기준에 따른 심사지표를 등록ㆍ관리하는 기능을 제공하여야 함</t>
  </si>
  <si>
    <t xml:space="preserve"> - 기안자가 정보를 입력하고 결재자를 지정하는 기능을 제공하여야 함</t>
  </si>
  <si>
    <t xml:space="preserve"> - 결재자는 감사원 내부 시스템에서 결재하는 기능을 제공하여야 함</t>
  </si>
  <si>
    <t>- 현) 감사원 전용 &gt; 비대면감사 등 혁신사례 &gt; 감사활동 혁신사례</t>
  </si>
  <si>
    <t>실사용자의 설계 참여를 통해 사용자가 원하는 정보시스템에 근접하도록 구현해야 함</t>
  </si>
  <si>
    <t>세부 감사계획이 자체감사심사 실적으로 자동 반영될 수 있도록 기능을 제공하여야 함</t>
  </si>
  <si>
    <t>자체감사활동 심사지침을 심사대상기관에 공지하고 교육을 관리하는 기능을 제공하여야 함</t>
  </si>
  <si>
    <t>감사원의 적극행정에 대한 면책, 사전컨설팅 처리결과를 관리하는 기능을 제공하여야 함</t>
  </si>
  <si>
    <t>사용자 열람 횟수 등을 일자별, 분기별, 카테고리별로 통계화하여 조회하는 기능 구현</t>
  </si>
  <si>
    <t xml:space="preserve"> - 보안이 요구되지 않는 파일의 경우 원본파일로 다운로드하는 기능을 제공하여야 함</t>
  </si>
  <si>
    <t xml:space="preserve"> - 수감기관의 감사결과 사후관리 현황 및 정보를 조회하는 기능을 제공하여야 함</t>
  </si>
  <si>
    <t>자체감사기구의 적극행정에 대한 면책을 업무절차에 따라 관리하는 기능을 제공하여야 함</t>
  </si>
  <si>
    <t xml:space="preserve"> - 재심의 및 기관별 상황에 따라서 처리기한을 재산정하는 기능을 제공하여야 함</t>
  </si>
  <si>
    <t xml:space="preserve"> - 업무별 처리기한에 따른 통보 대상업무를 자동 추출ㆍ등록하는 기능을 제공하여야 함</t>
  </si>
  <si>
    <t xml:space="preserve"> - 감사업무처리 변동에 따라 감사 대상기관의 담당자에게 알림 기능을 제공하여야 함</t>
  </si>
  <si>
    <t>자체감사활동 심사실시 및 심사결과 통보 및 관련 자료를 관리하는 기능을 제공하여야 함</t>
  </si>
  <si>
    <t>감사원 부서별, 주무기관별로 소관 기관의 연간감사계획을 조회하는 기능을 구현하여야 함</t>
  </si>
  <si>
    <t>사용자별 통계 서식에 따라 대상기관 통계 자료를 조회할 수 있는 기능을 제공하여야 함</t>
  </si>
  <si>
    <t xml:space="preserve"> - 감사 실무지식에 대한 조회ㆍ등록ㆍ수정ㆍ폐기 등을 관리하는 기능을 제공하여야 함</t>
  </si>
  <si>
    <t>입력 메뉴에 대해서는 기존에 입력된 데이터를 기반으로 자동완성 기능을 제공하여야 함</t>
  </si>
  <si>
    <t xml:space="preserve"> - 시스템 이용기관 내 특정 인원에 대하여 그룹을 설정하는 기능을 제공하여야 함</t>
  </si>
  <si>
    <t>감사교육원 홈페이지를 링크하는 등 정보를 연계하여 제공하는 기능을 제공하여야 함</t>
  </si>
  <si>
    <t xml:space="preserve"> - 분야별로 신청, 접수, 결과 등 절차에 따라 관리하는 기능을 제공하여야 함</t>
  </si>
  <si>
    <t>감사원 및 자체감사기구에서 세부 감사계획을 수립할 수 있는 기능을 제공하여야 함</t>
  </si>
  <si>
    <t xml:space="preserve"> - 세부 감사계획 수립을 위하여 연간감사계획을 조회할 수 있는 기능을 제공하여야 함</t>
  </si>
  <si>
    <t>현) 자체감사 &gt; 연간감사계획 &gt; 협의조정안
*국무조정실 통보관리 항목 정의 필요</t>
  </si>
  <si>
    <t xml:space="preserve"> - 내부 시스템으로 연계 전송하여 통보 완료된 사항을 변경하는 기능을 제공하여야 함</t>
  </si>
  <si>
    <t>내ㆍ외부 시스템으로부터 감사처분결과를 연계 전송받을 수 있도록 기능을 제공하여야 함</t>
  </si>
  <si>
    <t xml:space="preserve"> - 감사원 이외의 교육기관에서 수료한 교육을 일괄 등록하는 기능을 제공하여야 함</t>
  </si>
  <si>
    <t xml:space="preserve"> - 외부에 자료 제공을 위한 서비스는 웹서비스를 통해 연계하는 것을 원칙으로 함
 ·서비스 제공을 위한 WSDL 등 서비스를 정의하여야 함</t>
  </si>
  <si>
    <t>색, 레이아웃 등이 전혀 다른 3종 이상의 시안을 제출하고 최종협의안으로 구현되어야 함
 - 공공감사정보시스템과는 다른 디자인을 적용하여야 함</t>
  </si>
  <si>
    <t>기관별로 수감대상기관에 대한 감사처리 현황을 제공하고, 수감대상기관에 대하여 지난 감사계획 및 처분결과를 조회할 수 있는 기능을 제공하여야 함</t>
  </si>
  <si>
    <t xml:space="preserve"> - 국가법령정보센터에 등록되지 않은 법령을 등록ㆍ관리하는 기능을 제공하여야 함
 ㆍ기관 담당자가 규정을 등록ㆍ변경하는 기능을 제공하여야 함</t>
  </si>
  <si>
    <t>해상도 1024*768(17인치 권장 기준)부터 1920*1080 (24인치 권장 기준) 까지 지원하는 레이아웃 구조로 적용할 수 있어야 함</t>
  </si>
  <si>
    <t>해상도 1024*768(17인치 권장 기준)부터 1920*1080(24인치 권장 기준)까지 지원하는 레이아웃 구조로 적용할 수 있어야 함</t>
  </si>
  <si>
    <t>각종 가이드, 화면설계 방법 및 전파, UI Prototyping, 요구사항, 변화관리 등 사용자 중심의 서비스 향상을 감안하여 구축해야 함</t>
  </si>
  <si>
    <t>구축된 그래픽 파일은 해당 그래픽 프로그램의 원본 파일을 제출하여야 하며, 사용된 모든 콘텐츠(글꼴, 이미지 등)는 저작권에 문제가 없어야 함</t>
  </si>
  <si>
    <t xml:space="preserve"> - 웹 표준(HTML5) 기술로 구현하되, 기타 응용기술 적용 시 이용자 접근성 및 브라우저 호환성 보장하며, 반응형 웹 개발하여야 함</t>
  </si>
  <si>
    <t xml:space="preserve"> - 자체감사기구의 감사활동정보, 보도자료, 자체감사활동 통계 등을 등록하면 이에 따라 공공감사 홈페이지에 게시하는 기능을 제공하여야 함</t>
  </si>
  <si>
    <t>연간감사계획과 동일하게 세부 감사계획을 협의ㆍ조정하는 기능을 제공하여야 함</t>
  </si>
  <si>
    <t xml:space="preserve"> - 사이트맵처럼 전체 메뉴를 한 화면에서 볼 수 있는 기능이 있어야 함</t>
  </si>
  <si>
    <t>확정된 정보는 감사원 내부 시스템으로 연계 전송하는 기능을 제공하여야 함</t>
  </si>
  <si>
    <t xml:space="preserve"> - 조직 개편에 따른 기관 폐지ㆍ변경 등을 관리하는 기능을 제공하여야 함</t>
  </si>
  <si>
    <t>감사원 내부 시스템으로 제출된 자료를 연계하여 전송하는 기능을 제공하여야 함</t>
  </si>
  <si>
    <t xml:space="preserve"> - 일별, 월별, 연도별 접속 및 활동 추이를 분석하는 기능을 제공하여야 함</t>
  </si>
  <si>
    <t xml:space="preserve"> - 외부의 모든 연계는 행정정보공동이용센터를 통해 연계하는 것을 원칙으로 함</t>
  </si>
  <si>
    <t>감사결과가 자체감사심사 실적으로 자동 반영될 수 있도록 기능을 제공하여야 함</t>
  </si>
  <si>
    <t xml:space="preserve"> - 영문 홈페이지에 +/-기능을 추가하여 확대 및 축소를 할 수 있어야 함</t>
  </si>
  <si>
    <t>웹 문서 편집기를 통해 첨부된 스프레드시트 등을 수정하는 기능을 제공하여야 함</t>
  </si>
  <si>
    <t>자체감사기구 내부 결재 절차를 통해 감사원에 보고하는 기능을 제공하여야 함</t>
  </si>
  <si>
    <t xml:space="preserve"> - 메뉴를 접근하기 용이하게 구성하는 형태로 사용자의 편의를 극대화해야 함</t>
  </si>
  <si>
    <t>감사결과에 따른 처분요구에 대한 이행상황을 관리하는 기능을 제공하여야 함</t>
  </si>
  <si>
    <t>감사원 내부 시스템으로 감사활동정보를 연계 전송하는 기능을 제공하여야 함</t>
  </si>
  <si>
    <t>현) 종합정보검색 &gt; 기관별 감사실적
현) 종합정보검색 &gt; 검사계획.실시현황</t>
  </si>
  <si>
    <t xml:space="preserve"> - 감사원 평가자가 제출된 자료를 기반으로 평가하는 기능을 제공하여야 함</t>
  </si>
  <si>
    <t xml:space="preserve"> - 자체감사기구에서 감사 교육정보를 등록하고 안내하는 기능을 제공하여야 함</t>
  </si>
  <si>
    <t xml:space="preserve"> - 공공감사정보시스템으로부터 대상 통계를 연계전송받는 기능을 제공하여야 함</t>
  </si>
  <si>
    <t xml:space="preserve"> - 반려하는 경우 다시 기안자가 입력할 수 있도록 기능을 제공하여야 함</t>
  </si>
  <si>
    <t xml:space="preserve"> - 정의된 지식을 토대로 지속적으로 정확도를 개선할 수 있는 기능 제공</t>
  </si>
  <si>
    <t xml:space="preserve">  - 여러 사용자의 편집 내용 충돌 시 자동 보정 기능을 제공하여야 함</t>
  </si>
  <si>
    <t xml:space="preserve">  ※ 문서 스트리밍 S/W를 통해 첨부파일을 열람하는 기능을 제공하여야 함</t>
  </si>
  <si>
    <t>그래프솔루션(오픈소스, d3.js)
리포트SW (그래프 연계 가능여부 확인)</t>
  </si>
  <si>
    <t xml:space="preserve"> - 사용자의 유형에 따른 업무 권한을 설정할 수 있는 기능을 제공하여야 함</t>
  </si>
  <si>
    <t xml:space="preserve"> - 자체감사기구 설치 및 구성 등 편제를 관리하는 기능을 제공하여야 함</t>
  </si>
  <si>
    <t xml:space="preserve"> - 자연어 처리를 통해 파악된 의도를 기반으로 재 질의에 대한 처리기능</t>
  </si>
  <si>
    <t>현) 자체감사 &gt; 자체감사활동 &gt; 감사계획.실시.결과 &gt; 상세조회 &gt; 지적사항</t>
  </si>
  <si>
    <t xml:space="preserve"> - 산하기관에 대한 감사계획 및 실시현황을 조회하는 기능을 제공하여야 함</t>
  </si>
  <si>
    <t xml:space="preserve"> - 용량은 기가 단위의 큰 파일도 관계없이 전송하는 기능을 구현하여야 함</t>
  </si>
  <si>
    <t xml:space="preserve"> - 여러 파일을 한 번에 업로드 할 수 있도록 드래그 기능을 제공하여야 함</t>
  </si>
  <si>
    <t xml:space="preserve"> - 중복감사에 대한 국무조정실 통보사항을 관리하는 기능을 제공하여야 함</t>
  </si>
  <si>
    <t xml:space="preserve"> - 기관으로부터 데이터를 전송받기 위한 데이터 포맷을 정의하고 설계하여야 함</t>
  </si>
  <si>
    <t>자체감사기구의 감사업무 처리결과를 다른 기관과 공유하는 기능을 제공하여야 함</t>
  </si>
  <si>
    <t>감사 대상기관에서 감사인 선정 관련 감사원 보고 관련 기능을 제공하여야 함</t>
  </si>
  <si>
    <t>용량 및 개수에 관계없이 업로드·다운로드 할 수 있는 기능을 구현하여야 함</t>
  </si>
  <si>
    <t>HelpNDoc(설치형, 399유로)
Apache JSPWiki(오픈소스)</t>
  </si>
  <si>
    <t>자체감사기구의 사전컨설팅을 업무절차에 따라 관리하는 기능을 제공하여야 함</t>
  </si>
  <si>
    <t>눈에 잘 띄는 웹 폰트를 사용하고 중요성이 높은 텍스트에 강조 효과 적용</t>
  </si>
  <si>
    <t>개인정보를 보유ㆍ활용하는 메뉴에 대한 접근기록을 관리하는 기능을 제공하여야 함</t>
  </si>
  <si>
    <t>감사원 및 자체감사기구에서 연간감사계획을 수립할 수 있는 기능을 제공하여야 함</t>
  </si>
  <si>
    <t>기존 메뉴에서 제공하는 정보를 파악하여 직관적인 사용이 쉽도록 개편해야 함</t>
  </si>
  <si>
    <t>자체감사기구의 자체감사활동 관련 업무절차별 온라인 매뉴얼 기능을 제공하여야 함</t>
  </si>
  <si>
    <t>수요기관별로 관리자가 모니터링하고 통계현황을 추출하는 기능을 제공하여야 함</t>
  </si>
  <si>
    <r>
      <t xml:space="preserve">감사결과가 자체감사심사 </t>
    </r>
    <r>
      <rPr>
        <sz val="10"/>
        <color rgb="FFFF0000"/>
        <rFont val="맑은 고딕"/>
        <family val="3"/>
        <charset val="129"/>
      </rPr>
      <t>실적으로 자동 반영</t>
    </r>
    <r>
      <rPr>
        <sz val="10"/>
        <color rgb="FF000000"/>
        <rFont val="맑은 고딕"/>
        <family val="3"/>
        <charset val="129"/>
      </rPr>
      <t>될 수 있도록 기능을 제공하여야 함</t>
    </r>
  </si>
  <si>
    <r>
      <t xml:space="preserve">웹 문서 편집기를 통해 첨부된 </t>
    </r>
    <r>
      <rPr>
        <sz val="10"/>
        <color rgb="FFFF0000"/>
        <rFont val="맑은 고딕"/>
        <family val="3"/>
        <charset val="129"/>
      </rPr>
      <t>스프레드시트 등을 수정하는 기능</t>
    </r>
    <r>
      <rPr>
        <sz val="10"/>
        <color rgb="FF000000"/>
        <rFont val="맑은 고딕"/>
        <family val="3"/>
        <charset val="129"/>
      </rPr>
      <t>을 제공하여야 함</t>
    </r>
  </si>
  <si>
    <t>감사원 내부 시스템과 연계하여 관리하는 기능을 제공하여야 함</t>
  </si>
  <si>
    <r>
      <t xml:space="preserve"> - 차수별 교육생을 관리하는 기능을 제공하여야 함
 ㆍ</t>
    </r>
    <r>
      <rPr>
        <sz val="10"/>
        <color rgb="FFFF0000"/>
        <rFont val="맑은 고딕"/>
        <family val="3"/>
        <charset val="129"/>
      </rPr>
      <t>교육생 일괄등록</t>
    </r>
    <r>
      <rPr>
        <sz val="10"/>
        <color rgb="FF000000"/>
        <rFont val="맑은 고딕"/>
        <family val="3"/>
        <charset val="129"/>
      </rPr>
      <t xml:space="preserve"> 및 관리하는 기능을 제공하여야 함
 ㆍ교육신청 결과를 조회하는 기능을 제공하여야 함
 ㆍ교육일정확정ㆍ교육결과를 교육생에게 알림 메시지를 전송하는 기능을 제공하여야 함</t>
    </r>
  </si>
  <si>
    <t xml:space="preserve"> - 세부 감사계획을 비공개로 설정하는 경우 다른 기관으로부터 조회가 제한될 수 있는 기능을 제공하여야 함
 ㆍ감사원 담당자가 세부 감사계획의 입력 지연, 수시감사계획 및 비공개 감사의 타당성 등을 모니터링하고 조정하는 기능을 제공하여야 함</t>
  </si>
  <si>
    <t xml:space="preserve"> - 차수별 교육생을 관리하는 기능을 제공하여야 함
 ㆍ교육생 일괄등록 및 관리하는 기능을 제공하여야 함
 ㆍ교육신청 결과를 조회하는 기능을 제공하여야 함
 ㆍ교육일정확정ㆍ교육결과를 교육생에게 알림 메시지를 전송하는 기능을 제공하여야 함</t>
  </si>
  <si>
    <t xml:space="preserve"> - 감사결과 처리를 관리하는 기능을 제공하여야 함
 ㆍ감사결과 보고서를 작성하는 기능을 제공하여야 함
 ㆍ온-나라 연계 기안을 통해 결재하는 기능을 제공하여야 함
 ㆍ감사결과 조치권한에 따라 결과를 입력하는 기능을 제공하여야 함</t>
  </si>
  <si>
    <r>
      <t xml:space="preserve"> - </t>
    </r>
    <r>
      <rPr>
        <sz val="10"/>
        <color rgb="FFFF0000"/>
        <rFont val="맑은 고딕"/>
        <family val="3"/>
        <charset val="129"/>
      </rPr>
      <t>차수별 교육생을 관리하는 기능</t>
    </r>
    <r>
      <rPr>
        <sz val="10"/>
        <color rgb="FF000000"/>
        <rFont val="맑은 고딕"/>
        <family val="3"/>
        <charset val="129"/>
      </rPr>
      <t>을 제공하여야 함
 ㆍ교육생 일괄등록 및 관리하는 기능을 제공하여야 함
 ㆍ교육신청 결과를 조회하는 기능을 제공하여야 함
 ㆍ교육일정확정ㆍ교육결과를 교육생에게 알림 메시지를 전송하는 기능을 제공하여야 함</t>
    </r>
  </si>
  <si>
    <r>
      <t xml:space="preserve"> - 심사계획서를 작성하는 기능을 제공하여야 함
 ㆍ온-나라 연계 기안을 통해 결재하는 기능을 제공하여야 함
 ㆍ결재자는 감사원 내부 시스템 및 내부 메신저 등을 통해 알림을 제공받고 </t>
    </r>
    <r>
      <rPr>
        <sz val="10"/>
        <color rgb="FFFF0000"/>
        <rFont val="맑은 고딕"/>
        <family val="3"/>
        <charset val="129"/>
      </rPr>
      <t>내부 시스템에서 결재 처리</t>
    </r>
    <r>
      <rPr>
        <sz val="10"/>
        <color rgb="FF000000"/>
        <rFont val="맑은 고딕"/>
        <family val="3"/>
        <charset val="129"/>
      </rPr>
      <t>할 수 있도록 하여야 함</t>
    </r>
  </si>
  <si>
    <t>위 정보들을 엑셀 등으로 일괄 업로드 하고, 데이터 정합성을 확인하는 기능을 제공하여야 함
  ※ 문서작성 및 편집 S/W를 통해 문서를 작성하는 기능을 제공하고, 리포트 S/W를 통해 사용자별 서식 관리 기능 제공하며, 데이터 연계 S/W를 통해 연계 기능을 제공</t>
  </si>
  <si>
    <t xml:space="preserve"> - 특정 기준(감사 기간, 수감기관, 분야, 범위 등)에 따라서 다른 기관과 감사계획이 중복되는지 확인할 수 있는 기능을 제공하여야 함
 ㆍ정부기능분류체계와 기관에서 제시한 별도의 업무 분야에 따라서 감사 분야를 관리하는 기능을 제공하여야 함
 ㆍ특정 시점을 기준으로 중복감사를 분석하고 통보하는 기능을 제공하여야 함
 ㆍ분석결과 항목별 통계(연간감사계획 입력 현황, 연간감사계획 수립 현황, 감사원 감사계획 상호 간 중복 통계, 감사원-자체감사기구간 중복 통계, 자체감사기구 간 상호 간 중복 통계, 연간감사계획 협의결과조정 현황 등)를 확인하고 파일 다운로드(엑셀, 한글 등)하는 기능을 구현하여야 함</t>
  </si>
  <si>
    <r>
      <t xml:space="preserve"> - 특정 기준(감사 기간, 수감기관, 분야, 범위 등)에 따라서 다른 기관과 감사계획이 중복되는지 확인할 수 있는 기능을 제공하여야 함
</t>
    </r>
    <r>
      <rPr>
        <sz val="10"/>
        <color rgb="FFFF0000"/>
        <rFont val="맑은 고딕"/>
        <family val="3"/>
        <charset val="129"/>
      </rPr>
      <t xml:space="preserve"> ㆍ정부기능분류체계와 기관에서 제시한 별도의 업무 분야에 따라서 감사 분야를 관리하는 기능을 제공하여야 함</t>
    </r>
    <r>
      <rPr>
        <sz val="10"/>
        <color rgb="FF000000"/>
        <rFont val="맑은 고딕"/>
        <family val="3"/>
        <charset val="129"/>
      </rPr>
      <t xml:space="preserve">
 ㆍ특정 시점을 기준으로 중복감사를 분석하고 통보하는 기능을 제공하여야 함
 </t>
    </r>
    <r>
      <rPr>
        <sz val="10"/>
        <color rgb="FFFF0000"/>
        <rFont val="맑은 고딕"/>
        <family val="3"/>
        <charset val="129"/>
      </rPr>
      <t>ㆍ분석결과 항목별 통계(연간감사계획 입력 현황, 연간감사계획 수립 현황, 감사원 감사계획 상호 간 중복 통계, 감사원-자체감사기구간 중복 통계, 자체감사기구 간 상호 간 중복 통계, 연간감사계획 협의결과조정 현황 등)를 확인하고 파일 다운로드(엑셀, 한글 등)하는 기능을 구현하여야 함</t>
    </r>
  </si>
  <si>
    <t xml:space="preserve"> - 감사원 내부 시스템에서 이행상황ㆍ재심의 신청내역을 입력ㆍ확정하거나 승인하면 그 내역을 연계 전송받아 현황을 확인할 수 있는 기능을 제공하여야 함</t>
  </si>
  <si>
    <t>시스템 관리자는 권한을 세분화하고 각 게시판 및 자료실에 대해 권한별 접근 메뉴 및 기능(등록, 수정, 삭제 등)를 제한할 수 있도록 구현하여야 함</t>
  </si>
  <si>
    <t>정적분석도구(오픈소스)-PMD,findbug,findsecuritybug,checkstyle
Code-Ray XG pro (트리니티SW 커뮤니티버전)</t>
  </si>
  <si>
    <t>본문에 이미지 삽입 기능을 구현하고 삽입된 이미지가 설정된 열람 페이지의 폭, 길이 값을 초과할 경우 이미지 자동 리사이징을 진행하는 기능을 구현</t>
  </si>
  <si>
    <t xml:space="preserve"> - 내부 시스템에서 감사업무처리 절차별 공문을 연계 전송받는 기능을 제공하여야 함
 ㆍ감사업무 절차에 따른 상세정보를 관리하는 기능을 제공하여야 함</t>
  </si>
  <si>
    <t xml:space="preserve"> - 프로그램 개발 시, 변수 등 용어 사용은 데이터 표준 및 품질관리 솔루션과 연계하도록 구성하여야 하며, 연계를 위한 전문가를 확보하여야 함</t>
  </si>
  <si>
    <t xml:space="preserve"> - 심사평가자를 관리하는 기능을 제공하여야 함
 ㆍ유형(감사원, 대상기관, 기타 외부 등)에 따라서 평가자를 등록ㆍ변경하는 기능을 제공하여야 함</t>
  </si>
  <si>
    <t xml:space="preserve"> - 기간을 정하여 자체감사기구에 콘테스트 응모를 공지하는 기능을 제공하여야 함
 ㆍ온나라 연계기안을 통해 공문을 기안하는 기능을 제공하여야 함</t>
  </si>
  <si>
    <t xml:space="preserve"> - 공지사항, 질문ㆍ답변을 등록하고 관리하는 기능을 제공하여야 함
 ㆍ추천수, 비추천수, 조회수, 댓글수 등을 조회할 수 있는 기능을 제공하여야 함</t>
  </si>
  <si>
    <t xml:space="preserve"> - 공공감사정보시스템을 통해 처리된 결과를 공공감사 홈페이지를 통해 통보하고, 제보자가 임시계정 및 비밀번호를 통해 조회하는 기능을 제공하여야 함</t>
  </si>
  <si>
    <t>작성되는 스프레드시트, 프레젠테이션의 변경 내용은 모두 저장하며, 사용자가 변경 기록을 선택하여 변경 내용을 확인 또는 복원 기능을 제공하여야 함</t>
  </si>
  <si>
    <t xml:space="preserve"> - 검사 자료요구 및 제출, 감사인의 감사조서 제출 등의 기능을 제공하여야 함
  ·관련 자료를 감사원 내부 시스템에 연계 전송하는 기능 포함</t>
  </si>
  <si>
    <t>통합게시판을 관리할 수 있는 게시판 관리 기능을 구현하고 활용도(글, 이미지, 동영상 등)에 따라 게시판을 생성 및 관리가 가능하도록 구성하여야 함</t>
  </si>
  <si>
    <t>내ㆍ외부 시스템으로부터 감사처분결과를 연계 전송받을 수 있도록 기능을 제공하여야 함
  ※ 데이터 연계 S/W를 통해 연계 기능을 제공하여야 함</t>
  </si>
  <si>
    <t xml:space="preserve"> - 통계 서식에 맞춰 대상기관의 자료를 조회하는 기능을 제공하여야 함
 ㆍ조회조건에 따라 선별적으로 목록을 조회할 수 있는 기능을 제공하여야 함</t>
  </si>
  <si>
    <t xml:space="preserve"> - 사용자가 검색한 검색어, 시스템의 검색처리 시간 등의 로그 데이터를 바탕으로 기간별 검색 동향 조회 및 카테고리별, 사용자별로 검색 동향 파악하는 기능을 제공하여야 함</t>
  </si>
  <si>
    <t xml:space="preserve"> - 감사결과 공개문을 공공감사 홈페이지에 연계 전송하여 게시될 수 있도록 기능을 제공하여야 함
  ※ 국가정보자원관리원에서 도입한 시스템 S/W(망 연계)를 통해 연계전송</t>
  </si>
  <si>
    <t xml:space="preserve"> - 다른 기관의 감사 실무지식을 조회하여 첨부파일을 열람하는 기능을 제공하여야 함
 ㆍ사용자 PC에 다운로드하지 않고 스트리밍 방식으로 열람할 수 있도록 기능을 제공하여야 함</t>
  </si>
  <si>
    <t xml:space="preserve"> - 대상 S/W: 데이터 표준 및 품질관리, 검색엔진, 문서관리, 문서변환, 문서 관리, 문서 스트리밍, 데이터 연계, 성능 모니터링, 개인정보접속기록 관리, 개인정보 탐지</t>
  </si>
  <si>
    <t xml:space="preserve"> - 심사평가조를 관리하는 기능을 제공하여야 함
 ㆍ유형(평가총괄, 기관별 평가실시)에 따라서 평가자를 선택하여 심사평가조를 구성하고 조회 권한을 차등 부여하는 기능을 제공하여야 함
 ㆍ조별 심사 대상기관, 평가자료를 취합할 심사대상군 및 평가기간을 지정하는 기능을 제공하여야 함</t>
  </si>
  <si>
    <t>웹문서편집기(조달구매)
 - https://hwp.polarisoffice.com/
 - https://slide.polarisoffice.com/
 - https://sheet.polarisoffice.com/
 - https://word.polarisoffice.com/</t>
  </si>
  <si>
    <r>
      <t xml:space="preserve"> - </t>
    </r>
    <r>
      <rPr>
        <sz val="10"/>
        <color rgb="FFFF0000"/>
        <rFont val="맑은 고딕"/>
        <family val="3"/>
        <charset val="129"/>
      </rPr>
      <t>재심의를 신청</t>
    </r>
    <r>
      <rPr>
        <sz val="10"/>
        <color rgb="FF000000"/>
        <rFont val="맑은 고딕"/>
        <family val="3"/>
        <charset val="129"/>
      </rPr>
      <t>하기 위한 세부정보를 입력하는 기능을 제공하여야 함
 ㆍ재심의 청구서 및 관계서류를 등록하는 기능을 제공하여야 함</t>
    </r>
  </si>
  <si>
    <t xml:space="preserve"> - 기관으로부터 데이터를 전송받기 위한 데이터 포맷을 정의하고 설계하여야 함
  ※ 데이터 연계 S/W를 통해 연계 기능을 제공</t>
  </si>
  <si>
    <t>전자정부표준프레임워크로 아키텍처를 구성하고 연관 소프트웨어와의 연계를 위한 기술 및 개발방법을 지원하여야 함</t>
  </si>
  <si>
    <t xml:space="preserve"> ※ 개인정보 접속 기록관리 S/W를 통해 기록되는 로그를 바탕으로 위 기능을 시스템 관리자 메뉴에 구성하여야 함</t>
  </si>
  <si>
    <t>현) 자체감사 &gt; 자체감사활동 &gt; 감사계획.실시.결과 &gt; 상세조회
현) 자체감사 &gt; 자체감사활동 &gt; 조치이행관리</t>
  </si>
  <si>
    <t>모든 콘텐츠는 웹 표준 등 제반규정(웹 접근성, 웹 호환성, 웹사이트 최적화, 플러그인 제거 등)을 준수하여야 함</t>
  </si>
  <si>
    <t>감사결과에 따른 처분요구(징계ㆍ문책, 시정, 주의, 개선, 권고, 고발 등)를 관리하는 기능을 제공하여야 함</t>
  </si>
  <si>
    <t xml:space="preserve"> - 메일ㆍ문자메시지 전송 신뢰성 보장을 위한 인터페이스를 제공하여야 함
 ㆍ전송 결과, 전송 실패 시 사유(에러 메시지 등)를 확인할 수 있는 기능을 제공하여야 함</t>
  </si>
  <si>
    <t xml:space="preserve">  - 프레젠테이션 도구는 프레젠테이션 보기, 애니메이션, 테마, 배경, 레이아웃 설정 기능을 제공하여야 하며, 슬라이드 복사, 삭제, 발표자 노트 기능을 제공하여야 함</t>
  </si>
  <si>
    <t>프레젠테이션은 한글과 컴퓨터 한쇼, 마이크로소프트 파워포인트와 호환이 가능해야 하며, 저장시 pptx, pdf, txt, jpeg, png 등으로 선택 가능하여야 함</t>
  </si>
  <si>
    <t xml:space="preserve"> - 증거서류를 편집하는 기능을 제공하여야 함
  ※ 문서작성 및 편집 S/W를 통해 문서를 작성하는 기능을 제공하고 리포트 S/W를 통해 사용자별 서식 관리 기능 제공</t>
  </si>
  <si>
    <t xml:space="preserve"> - 결재유무를 선택할 수 있도록 하고, 이에 따라 자료를 제출하는 기능을 제공하여야 함</t>
  </si>
  <si>
    <t xml:space="preserve">  - 페이지 나누기, 입력 위치의 커서 표현, 다국어 지원, 다양한 폰트를 제공하여야 함</t>
  </si>
  <si>
    <t>현) 감사원감사 &gt; 이행상황 &gt; 이행상황회보
현) 감사원감사 &gt; 이행상황 &gt; 특수관리사항</t>
  </si>
  <si>
    <t xml:space="preserve"> - 소스코드 품질을 보장하는 방안을 제시하고, 필요한 경우 프레임워크를 확장 개발해야 함</t>
  </si>
  <si>
    <t xml:space="preserve">  - 표, 그림, 개체, 글상자, 수식, 차트, 그리기 개체 등의 삽입이 가능하여야 함</t>
  </si>
  <si>
    <t xml:space="preserve"> ※ 리포트 S/W를 기반으로 기 등록된 서식에 따라 현황을 리포트하는 기능을 제공하여야 함</t>
  </si>
  <si>
    <t xml:space="preserve"> - 접속 시 첫 화면의 이미지, 문구 등을 유지보수 담당자가 손쉽게 변경할 수 있어야 함</t>
  </si>
  <si>
    <t>감사원에서 감사권한이 있는 기관에 의뢰하는 대행ㆍ위탁감사를 관리하는 기능을 제공하여야 함</t>
  </si>
  <si>
    <t xml:space="preserve"> - 심사평가자(팀장)는 지표별 심사근거자료를 기반으로 확정ㆍ승인하는 기능을 제공하여야 함</t>
  </si>
  <si>
    <t xml:space="preserve"> - 수료한 교육결과를 조회, 등록 및 수정, 교육결과 다운로드하는 기능을 제공하여야 함</t>
  </si>
  <si>
    <t>자료요구제출관리기능
현) 자체감사 &gt; 감사자료 송수신 
현) 감사원감사 &gt; 감사자료 제출</t>
  </si>
  <si>
    <t xml:space="preserve"> - 감사인의 필요적 보고사항 관련 보고내용 및 증거서류를 등록하는 기능을 제공하여야 함</t>
  </si>
  <si>
    <t xml:space="preserve"> ※ 리포트 S/W를 기반으로 기 등록된 서식에 따라 통계를 추출하는 기능을 제공하여야 함</t>
  </si>
  <si>
    <t xml:space="preserve"> - 업무 분야별 감사착안사항 및 감사체크리스트를 등록하고 관리하는 기능을 제공하여야 함</t>
  </si>
  <si>
    <t xml:space="preserve"> - 이행 기한이 도래하였거나 미결 상황인 처분요구를 관리할 수 있는 기능을 제공하여야 함</t>
  </si>
  <si>
    <t>스프레트쉬트SW(조달구매)
 - https://sheet.polarisoffice.com/</t>
  </si>
  <si>
    <t xml:space="preserve"> - 수감기관의 일반현황 정보 조회 기능(ALIO Link 제공 포함)을 제공하여야 함</t>
  </si>
  <si>
    <t xml:space="preserve"> - 보안이 요구되는 파일의 경우 PDF로 변환된 파일을 다운로드하는 기능을 제공하여야 함</t>
  </si>
  <si>
    <t xml:space="preserve"> - 파일 분할 없이 세션이 유지되어야 하며, 실패하는 경우 관리하는 방안을 마련하여야 함</t>
  </si>
  <si>
    <t xml:space="preserve"> - 메뉴별로 접속자 수, 이용 시간 등을 특정 기간에 따라 조회하는 기능을 제공하여야 함</t>
  </si>
  <si>
    <t>색, 레이아웃 등이 전혀 다른 3종 이상의 시안을 제출하고 최종협의안으로 구현되어야 함</t>
  </si>
  <si>
    <t xml:space="preserve"> - 대행ㆍ위탁감사 실적이 자체감사활동 심사 시 반영ㆍ활용될 수 있는 기능을 제공하여야 함</t>
  </si>
  <si>
    <t>감사원에서 결재한 정보는 온-나라 연계 기안을 통해 결재할 수 있도록 기능을 제공하여야 함</t>
  </si>
  <si>
    <t xml:space="preserve"> - 수감기관으로 포함된 감사계획 및 처분요구 유형별 현황을 조회하는 기능을 제공하여야 함</t>
  </si>
  <si>
    <t>외부 인사시스템으로부터 감사담당자 정보를 연계 전송받을 수 있도록 기능을 제공하여야 함</t>
  </si>
  <si>
    <t>외부 자체감사기구 시스템으로부터 감사활동정보를 연계 전송받을 수 있도록 기능을 제공하여야 함</t>
  </si>
  <si>
    <t xml:space="preserve"> - 우수 지식 및 최신 지식으로 추천할 검색어를 등록 및 관리하는 기능을 제공하여야 함</t>
  </si>
  <si>
    <t>시나리오 대화형, 검색서비스형 등의 다양한 대화방식이 적용 가능한 챗봇 대화관리 기능 개발</t>
  </si>
  <si>
    <t>위 정보들을 엑셀 등으로 일괄 업로드 하고, 데이터 정합성을 확인하는 기능을 제공하여야 함</t>
  </si>
  <si>
    <t>해당 기능의 목적?
유관기관 설정 기능 추가?
공유 범위?
조회기능만 공유?
공유대상 범위?</t>
  </si>
  <si>
    <t>연계 결과를 주기적으로 시스템 관리자 및 외부 기관 담당자에게 알림 메시지를 전송하는 기능을 제공하여야 함</t>
  </si>
  <si>
    <t xml:space="preserve"> - 대상기관, 통보일, 관련자 인적사항, 공문 기안일자 등 상세정보를 기록하는 기능을 구현하여야 함</t>
  </si>
  <si>
    <t xml:space="preserve"> - 감사전문가의 활동내역을 정량적으로 평가하는 기준(평가기간, 평가항목)을 관리하는 기능을 제공하여야 함</t>
  </si>
  <si>
    <t xml:space="preserve"> - 일별, 관리대상 구분별, 통지수단별, 기관별 알림ㆍ통지 처리 현황을 조회하는 기능을 제공하여야 함</t>
  </si>
  <si>
    <t>기능별로 활용여부 점검이 가능하도록 시스템 운영·유지관리 효율성을 높일 수 있는 기능을 제공하여야 함</t>
  </si>
  <si>
    <t xml:space="preserve"> - 사용자가 시스템 개선 요청을 등록하고 시스템 관리자가 처리내역을 등록ㆍ관리하는 기능을 제공하여야 함</t>
  </si>
  <si>
    <r>
      <rPr>
        <sz val="10"/>
        <color rgb="FFFF0000"/>
        <rFont val="맑은 고딕"/>
        <family val="3"/>
        <charset val="129"/>
      </rPr>
      <t>자체감사기구에서 결재한 정보</t>
    </r>
    <r>
      <rPr>
        <sz val="10"/>
        <color rgb="FF000000"/>
        <rFont val="맑은 고딕"/>
        <family val="3"/>
        <charset val="129"/>
      </rPr>
      <t>는 확정되어 감사원에 보고되고, 감사원 담당자가 확인하는 기능을 제공하여야 함</t>
    </r>
  </si>
  <si>
    <t xml:space="preserve"> - 처리기한 일수, 잔여일수 단계별 통지간격 등 기한에 대한 기준정보를 관리하는 기능을 제공하여야 함</t>
  </si>
  <si>
    <t xml:space="preserve"> - 처리기한별 대상업무 내역, 결재 및 일정(달력 형태)에 대한 상세내역을 조회하는 기능을 제공하여야 함</t>
  </si>
  <si>
    <t xml:space="preserve"> - 감사전문가 평가기준에 따라 우수 질문ㆍ답변 및 감사전문가를 선정할 수 있는 기능을 제공하여야 함</t>
  </si>
  <si>
    <t xml:space="preserve"> - 기관별로 검사담당자 지정 후 시스템 등록 및 업무 연락방(문자메시지전송 기능 포함) 기능 구현 필요</t>
  </si>
  <si>
    <t>웹문서편집기(조달구매)
 - https://hwp.polarisoffice.com/
문서변환SW(조달구매)</t>
  </si>
  <si>
    <t xml:space="preserve"> ※ 데이터 연계 S/W를 통해 관리되는 연계정보를 바탕으로 위 기능을 시스템 관리자 메뉴에 구성하여야 함</t>
  </si>
  <si>
    <t>연계솔루션(조달구매)
OpenAPI 및 OpenAPI Management System(SFR-040)</t>
  </si>
  <si>
    <t xml:space="preserve"> - 감사원 내부 시스템에서 적극행정에 대한 면책, 사전컨설팅 내역을 연계 전송받는 기능을 제공하여야 함</t>
  </si>
  <si>
    <t>UI/UX 표준 및 설계 가이드(UI/UX 표준 설계 기준, 데이터 표준 등)를 제시하고 준수해야 함</t>
  </si>
  <si>
    <t xml:space="preserve"> - 감사원 담당자를 지정하고, 담당자가 필요한 서식에 따라 자료를 제출받을 수 있는 기능을 제공하여야 함</t>
  </si>
  <si>
    <t>외부연계를 위한 데이터 포맷을 정의하고 설계하여야 함
 - 자체감사기구 담당자 정보, 자체감사활동 정보, 기관 공시정보에 대하여 기관으로부터 데이터를 전송받기 위한 포맷을 설계하여야 함</t>
  </si>
  <si>
    <t xml:space="preserve"> - 기관별로 수신그룹을 관리하는 기능을 제공하여야 함
 ㆍ기관 유형에 따라서 세부적으로 수신그룹을 설정하고, 담당자가 변경되더라도 이력을 관리하고 현행화하는 기능을 제공하여야 함</t>
  </si>
  <si>
    <t xml:space="preserve"> - 재심의 검토 결과 감사결과가 취소ㆍ변경된 경우 처분요구를 취소ㆍ변경하는 기능을 제공하여야 함
 ㆍ처분요구의 취소ㆍ변경 내역을 감사원 및 주무기관에 통보하는 기능을 제공하여야 함</t>
  </si>
  <si>
    <t xml:space="preserve"> - 감사결과를 감사원 및 주무기관에 통보하는 기능을 제공하여야 함
 ㆍ감사원 및 주무기관 담당자는 문자메시지, 메일 등으로 알림받고, 통보받은 감사결과를 확인하는 기능을 제공하여야 함</t>
  </si>
  <si>
    <t>디자인시안3종
화면디자인가이드
화면설계가이드</t>
  </si>
  <si>
    <t>감사 표준양식 정의
각 기관별 감사표준절차 정의</t>
  </si>
  <si>
    <t>표준업무절차정의
감사교육원외 교육을 의미하는가?</t>
  </si>
  <si>
    <t>*문서 내 개인정보 포함여부는 어떻게 확인할까요?</t>
  </si>
  <si>
    <t>내부결제기능
* 자체결제기능이 있는 경우에는?</t>
  </si>
  <si>
    <t>무슨 의미인지?
화면을 연계해달라고 하는것인지?</t>
  </si>
  <si>
    <t>엑셀업로드 및 검증기능
검증 실패건 조회 기능</t>
  </si>
  <si>
    <t>개발가이드
코딩가이드(코드표준, 메시지표준)</t>
  </si>
  <si>
    <t xml:space="preserve"> - 미리보기, 출력 등의 기능을 제공하여야 함 </t>
  </si>
  <si>
    <t xml:space="preserve"> - 감사원 내부 시스템의 감사처분결과 및 공개문</t>
  </si>
  <si>
    <t>- 현) 시스템관리 &gt; 시스템 운영 &gt; 사용자관리</t>
  </si>
  <si>
    <t>협의,조정 기능을 연계로 어떻게 제공할 것인가?</t>
  </si>
  <si>
    <t>「감사원법」 제29조에 따른 망실 또는 훼손 사실</t>
  </si>
  <si>
    <t>자체감사기구 현황을 관리하는 기능을 제공하여야 함</t>
  </si>
  <si>
    <t>조사개시 통보를 관리하는 기능을 제공하여야 함</t>
  </si>
  <si>
    <t>감사 실무지식을 검색하는 기능을 제공하여야 함</t>
  </si>
  <si>
    <t>기관별 현황을 조회하는 기능을 제공하여야 함</t>
  </si>
  <si>
    <t>감사계획을 협의ㆍ조정하는 기능을 제공하여야 함</t>
  </si>
  <si>
    <t>감사 교육과정을 관리하는 기능을 제공하여야 함</t>
  </si>
  <si>
    <t xml:space="preserve">SW아키텍처설계서에 전자정부 표준프레임워크 </t>
  </si>
  <si>
    <t>감사 실무지식을 관리하는 기능을 제공하여야 함</t>
  </si>
  <si>
    <t>감사 분야를 등록ㆍ관리하는 기능을 제공하여야 함</t>
  </si>
  <si>
    <t>재심의의 경우 세부 관리기능을 제공하여야 함</t>
  </si>
  <si>
    <t>감사활동정보를 분석하는 기능을 제공하여야 함</t>
  </si>
  <si>
    <t>감사결과를 대외 공개하는 기능을 제공하여야 함</t>
  </si>
  <si>
    <t>감사 교육정보를 공유하는 기능을 제공하여야 함</t>
  </si>
  <si>
    <t>감사원의 결산검사를 관리하는 기능을 제공하여야 함</t>
  </si>
  <si>
    <t>감사 관련 규정을 관리하는 기능을 제공하여야 함</t>
  </si>
  <si>
    <t>감사 교육결과를 관리하는 기능을 제공하여야 함</t>
  </si>
  <si>
    <t>연계대상5. 감사계획 실시 결과 중 자체감사계획</t>
  </si>
  <si>
    <t>공무원 또는 직원에 대한 신분상의 조치 사실</t>
  </si>
  <si>
    <t>연계대상6. 감사계획 실시 결과 중 자체감사결과</t>
  </si>
  <si>
    <t>감사활동정보의 입력시기(제20조 제2항 관련)</t>
  </si>
  <si>
    <t xml:space="preserve"> - 모든 이미지는 대체텍스트로 구현하여야 함</t>
  </si>
  <si>
    <t>시스템을 통한 설문조사 기능을 제공하여야 함</t>
  </si>
  <si>
    <t xml:space="preserve"> - 필요시 URL연결, 팝업 연결 등 기능 제공</t>
  </si>
  <si>
    <t>감사전문가 넷을 운영하는 기능을 제공하여야 함</t>
  </si>
  <si>
    <t>사용자 계정을 관리하는 기능을 제공하여야 함</t>
  </si>
  <si>
    <t>To-Do 목록을 조회하는 기능을 제공하여야 함</t>
  </si>
  <si>
    <t>자체감사기구의 수감기관에 대한 감사관리 기능
(전자감사 참조 및 절차정의 필요)
감사 표준양식 정의
각 기관별 감사표준절차 정의</t>
  </si>
  <si>
    <r>
      <t xml:space="preserve"> - 감사원에서 감사실시기관에 감사(대행ㆍ위탁감사 등)를 의뢰하는 기능을 제공하여야 함
 ㆍ온-나라 연계 기안을 통해 결재하는 기능을 제공하여야 함
 ㆍ결재자는 감사원 내부 시스템 및 내부 메신저 등을 통해 알림을 제공받고 </t>
    </r>
    <r>
      <rPr>
        <sz val="10"/>
        <color rgb="FFFF0000"/>
        <rFont val="맑은 고딕"/>
        <family val="3"/>
        <charset val="129"/>
      </rPr>
      <t>내부 시스템에서 결재 처리</t>
    </r>
    <r>
      <rPr>
        <sz val="10"/>
        <color rgb="FF000000"/>
        <rFont val="맑은 고딕"/>
        <family val="3"/>
        <charset val="129"/>
      </rPr>
      <t>할 수 있도록 하여야 함</t>
    </r>
  </si>
  <si>
    <t>SFR-040</t>
  </si>
  <si>
    <t>SFR-043</t>
  </si>
  <si>
    <t>SFR-036</t>
  </si>
  <si>
    <t>감사원 업무</t>
  </si>
  <si>
    <t>요구사항내용</t>
  </si>
  <si>
    <t>내부결재</t>
  </si>
  <si>
    <t>SFR-042</t>
  </si>
  <si>
    <t>요구사항ID</t>
  </si>
  <si>
    <t>프로토타이핑</t>
  </si>
  <si>
    <t>프로세스정의서</t>
  </si>
  <si>
    <t>개발가이드</t>
  </si>
  <si>
    <t>도구 상시적용</t>
  </si>
  <si>
    <t>결정상태</t>
  </si>
  <si>
    <t>적부판정</t>
  </si>
  <si>
    <t>김현식 감사관</t>
  </si>
  <si>
    <t>LVL1</t>
  </si>
  <si>
    <t>작성내용</t>
  </si>
  <si>
    <t>공통모듈 개발</t>
  </si>
  <si>
    <t>완료여부</t>
  </si>
  <si>
    <t>문서구분</t>
  </si>
  <si>
    <t>안건번호</t>
  </si>
  <si>
    <t>하범용 팀장</t>
  </si>
  <si>
    <t>기능,구현방안</t>
  </si>
  <si>
    <t>작성 문서</t>
  </si>
  <si>
    <t>문서버전</t>
  </si>
  <si>
    <t>1.20</t>
  </si>
  <si>
    <t>1.50</t>
  </si>
  <si>
    <t>번역가?</t>
  </si>
  <si>
    <t>승인서명</t>
  </si>
  <si>
    <t>1.60</t>
  </si>
  <si>
    <t>민계선 상무</t>
  </si>
  <si>
    <t>일상감사 결과</t>
  </si>
  <si>
    <t>예상결과</t>
  </si>
  <si>
    <t>공통기능 개발</t>
  </si>
  <si>
    <t>단계이름</t>
  </si>
  <si>
    <t>결정완료</t>
  </si>
  <si>
    <t>검사방법</t>
  </si>
  <si>
    <t>해당없음</t>
  </si>
  <si>
    <t>감사결과</t>
  </si>
  <si>
    <t>업무프로세스</t>
  </si>
  <si>
    <t>연계희망여부</t>
  </si>
  <si>
    <t>징계통보</t>
  </si>
  <si>
    <t>1.12</t>
  </si>
  <si>
    <t>챗봇업체</t>
  </si>
  <si>
    <t>문서이름</t>
  </si>
  <si>
    <t>사전컨설팅</t>
  </si>
  <si>
    <t>감사담당자명부</t>
  </si>
  <si>
    <t>문서 개정이력</t>
  </si>
  <si>
    <t>회의차수</t>
  </si>
  <si>
    <t>추가개발</t>
  </si>
  <si>
    <t>구현방안</t>
  </si>
  <si>
    <t>공통기능</t>
  </si>
  <si>
    <t>감사 이행결과</t>
  </si>
  <si>
    <t>1.40</t>
  </si>
  <si>
    <t>구현방법</t>
  </si>
  <si>
    <t>1.30</t>
  </si>
  <si>
    <t>연간감사계획</t>
  </si>
  <si>
    <t>감사활동정보명</t>
  </si>
  <si>
    <t>자체감사시스템</t>
  </si>
  <si>
    <t>입력 시기</t>
  </si>
  <si>
    <t>조치이행관리</t>
  </si>
  <si>
    <t>㈜유엔파인</t>
  </si>
  <si>
    <t>프로젝트</t>
  </si>
  <si>
    <t>1.10</t>
  </si>
  <si>
    <t>손망실통보</t>
  </si>
  <si>
    <t>공개일자</t>
  </si>
  <si>
    <t>문서번호</t>
  </si>
  <si>
    <t>범죄통보</t>
  </si>
  <si>
    <t>작성기관</t>
  </si>
  <si>
    <t>이름기입</t>
  </si>
  <si>
    <t>수립 즉시</t>
  </si>
  <si>
    <t>기관일반현황</t>
  </si>
  <si>
    <t>좀더 연구</t>
  </si>
  <si>
    <t>SFR-031</t>
  </si>
  <si>
    <t>통계 조회</t>
  </si>
  <si>
    <t>SFR-021</t>
  </si>
  <si>
    <t>SFR-020</t>
  </si>
  <si>
    <t>SFR-010</t>
  </si>
  <si>
    <t>감사실시</t>
  </si>
  <si>
    <t>SFR-004</t>
  </si>
  <si>
    <t>SFR-041</t>
  </si>
  <si>
    <t>감사결과 처리</t>
  </si>
  <si>
    <t>SFR-018</t>
  </si>
  <si>
    <t>SFR-017</t>
  </si>
  <si>
    <t>일반 현황</t>
  </si>
  <si>
    <t>SFR-005</t>
  </si>
  <si>
    <t>SFR-019</t>
  </si>
  <si>
    <t>SFR-016</t>
  </si>
  <si>
    <t>자체감사업무</t>
  </si>
  <si>
    <t>SFR-012</t>
  </si>
  <si>
    <t>SFR-013</t>
  </si>
  <si>
    <t>SFR-008</t>
  </si>
  <si>
    <t>SFR-044</t>
  </si>
  <si>
    <t>SFR-025</t>
  </si>
  <si>
    <t>요구사항명</t>
  </si>
  <si>
    <t>SFR-032</t>
  </si>
  <si>
    <t>SFR-035</t>
  </si>
  <si>
    <t>SFR-015</t>
  </si>
  <si>
    <t>SFR-007</t>
  </si>
  <si>
    <t>적극행정지원</t>
  </si>
  <si>
    <t>SFR-038</t>
  </si>
  <si>
    <t>SFR-037</t>
  </si>
  <si>
    <t>사용자 편의</t>
  </si>
  <si>
    <t>SFR-022</t>
  </si>
  <si>
    <t>기준관리</t>
  </si>
  <si>
    <t>SFR-024</t>
  </si>
  <si>
    <t>SFR-039</t>
  </si>
  <si>
    <t>SFR-011</t>
  </si>
  <si>
    <t>SFR-014</t>
  </si>
  <si>
    <t>홈페이지</t>
  </si>
  <si>
    <t>SFR-001</t>
  </si>
  <si>
    <t>SFR-030</t>
  </si>
  <si>
    <t>SFR-028</t>
  </si>
  <si>
    <t>기능 일반</t>
  </si>
  <si>
    <t>홈페이지 관리</t>
  </si>
  <si>
    <t>SFR-026</t>
  </si>
  <si>
    <t>SFR-002</t>
  </si>
  <si>
    <t>시스템 관리</t>
  </si>
  <si>
    <t>SFR-023</t>
  </si>
  <si>
    <t>SFR-027</t>
  </si>
  <si>
    <t>현황 조회</t>
  </si>
  <si>
    <t>SFR-045</t>
  </si>
  <si>
    <t>SFR-034</t>
  </si>
  <si>
    <t>SFR-029</t>
  </si>
  <si>
    <t>SFR-033</t>
  </si>
  <si>
    <t>감사교육관리</t>
  </si>
  <si>
    <t xml:space="preserve"> - 감사실시기관 또는 감사대상기관에서 이행상황을 등록ㆍ변경하는 기능을 제공하여야 함
 ㆍ장기간 소요되는 처분요구에 대한 단계별 이행상황 관리 등 별도 관리 기능을 제공하여야 함
 ㆍ이행결과가 징계ㆍ문책에 해당하는 경우 징계결과, 징계일자 등 상세 내역을 입력하고, 징계 통보 항목으로 연결하는 기능을 제공하여야 함</t>
  </si>
  <si>
    <t>향상된 서비스 제공을 위한 전체 메뉴를 재구성(유지, 변경 등)해야 하며, 감사원의 요구사항을 분석하여 반영해야 함</t>
  </si>
  <si>
    <t>레이아웃, 색상, 폰트, 아이콘 등 각 디자인 요소의 일관성을 유지하고, 직관적이며 사용자 친화적인 디자인으로 구축</t>
  </si>
  <si>
    <t xml:space="preserve"> - 검색어에 의한 검색 및 검색결과 정렬, 검색어 자동완성 기능, 검색결과 내 재검색을 지원하는 기능을 제공하여야 함</t>
  </si>
  <si>
    <t xml:space="preserve"> - 결재가 완료되면 기안자에게 문자메시지 등으로 알림이 제공되고, 결재가 완료되었음을 확인하는 기능을 제공하여야 함</t>
  </si>
  <si>
    <t>네비게이션 설계를 통해 설계된 해당 화면을 이동하는 경로에 대한 Grid, Layout, 화면간 이동 등을 구축해야 함</t>
  </si>
  <si>
    <t>게시물의 공개/비공개 설정 기능을 구현해야 함. 비공개 설정 시 관리자(권한을 부여받은 자)만 확인할 수 있어야 함</t>
  </si>
  <si>
    <t xml:space="preserve"> - 심사기준을 관리하는 기능을 제공하여야 함
 ㆍ연도별 심사기준 및 세부지표를 등록ㆍ변경하는 기능을 제공하여야 함</t>
  </si>
  <si>
    <t xml:space="preserve"> - 개별 사용자의 관심분야를 등록하여 해당 관심분야에 신규/추천 지식 등록 시 알림을 제공하는 기능을 제공하여야 함</t>
  </si>
  <si>
    <t>특정기관에서 유관기관을 설정할 수 있어야 하고, 소관기관에서 작성한 내역을 유관기관과 공유하는 기능을 제공하여야 함</t>
  </si>
  <si>
    <t>첨부파일 확장자 및 용량 제한 할 수 있어야 하며 첨부파일에 대해 드래그 앤드 드롭 형태로 첨부할 수 있도록 기능을 구현</t>
  </si>
  <si>
    <t xml:space="preserve"> - 등록된 정보는 공공감사정보시스템으로 연계되어 시스템 관리자가 확인하고 알림을 제공할 수 있는 기능을 제공하여야 함</t>
  </si>
  <si>
    <t>감사원에서 실시한 감사업무처리(감사계획, 실시, 처리, 시행, 이행, 재심의) 현황을 조회하는 기능을 제공하여야 함</t>
  </si>
  <si>
    <t>사용자 접속 및 홈페이지 내 활동 정보를 홈페이지로부터 연계 전송받아 관리하는 기능을 제공하여야 함</t>
  </si>
  <si>
    <t xml:space="preserve"> - 동의어 사전, 불용어, 금칙어 등의 통합관리를 위한 사전을 관리하는 기능을 제공하여야 함</t>
  </si>
  <si>
    <t xml:space="preserve"> - 제보 건에 대하여 임시계정을 부여하고 비밀번호를 통해서만 조회할 수 있는 기능을 제공하여야 함</t>
  </si>
  <si>
    <t xml:space="preserve"> - 심사 대상기관별로 심사평가 진행상태를 조회하고 단계별로 마감처리하는 기능을 제공하여야 함</t>
  </si>
  <si>
    <t>공공감사 관련 정보 및 자체감사활동 관련 정보를 미리보기 형태로 조회하는 기능을 제공하여야 함</t>
  </si>
  <si>
    <t xml:space="preserve"> - 심사 대상기관 기준으로 심사 관련 제출자료를 연도별로 관리할 수 있는 기능을 제공하여야 함</t>
  </si>
  <si>
    <t xml:space="preserve"> - 감사원 업무시스템으로부터 기관코드를 연계 전송받아 기관 현황을 관리하는 기능을 제공하여야 함</t>
  </si>
  <si>
    <t xml:space="preserve"> - 기관편람(기관연혁, 임무 및 기능, 업무보고, 사업계획 등)을 관리하는 기능을 제공하여야 함</t>
  </si>
  <si>
    <t xml:space="preserve"> - 미 답변목록 조회 및 답변 재안내 등 질문ㆍ답변을 조회하고 관리하는 기능을 제공하여야 함</t>
  </si>
  <si>
    <t>현) 자체감사 &gt; 자체감사활동 &gt; 감사계획.실시.결과 &gt; 상세조회 &gt; 지적사항의 감사결과 공개여부</t>
  </si>
  <si>
    <t>현) 자체감사 &gt; 적극행정지원 &gt; 사전컨설팅
 * 사전컨설팅 절차(신청,접수,결과) 관리 기능</t>
  </si>
  <si>
    <t xml:space="preserve"> - 자료 요구ㆍ제출 시 담당자에게 메일 또는 문자메시지로 알림을 전송하는 기능을 제공하여야 함</t>
  </si>
  <si>
    <t>감사실시 과정에서 수집되는 증거서류(확인서, 문답서, 질문서, 답변서, 참고자료 등)를 등록ㆍ관리하는 기능을 제공하여야 함</t>
  </si>
  <si>
    <t xml:space="preserve"> - 감사원에서 감사실시기관에 결과를 통보하는 기능을 제공하여야 함
 ㆍ온-나라 연계 기안을 통해 결재하는 기능을 제공하여야 함</t>
  </si>
  <si>
    <t>NodeJS(Multer, https://github.com/expressjs/multer) 
 - 별도 업로드 모듈 구현 필요</t>
  </si>
  <si>
    <t>EXCEL TO DB
웹문서편집기(조달구매)
 - https://hwp.polarisoffice.com/
문서변환SW(조달구매)</t>
  </si>
  <si>
    <t xml:space="preserve"> - ｢공공감사에 관한 법률｣ 제2조에 따라 매년 지정하는 적용기관을 포함한 이용기관 현황을 관리하는 기능을 제공하여야 함</t>
  </si>
  <si>
    <t>관리자가 다른 사용자 계정으로 로그인하는 멀티로그인 기능을 제공하여 사용자 접근권한, 환경 등을 확인하는 기능을 제공하여야 함</t>
  </si>
  <si>
    <t>무분별한 이미지 사용 최소화, CSS 디자인 적용으로 빠른 페이지 로딩과 편집, 수정이 편리하도록 페이지 구조 방식으로 적용</t>
  </si>
  <si>
    <t>현) 기관현황 &gt; 자체감사기구 &gt; 감사담당자명부
현) 시스템관리 &gt; 시스템운영 &gt; 사용자관리
* 기관/조직별 담당자 조회기능</t>
  </si>
  <si>
    <t>현) 감사원 전용 &gt; 자체감사활동 실지심사
현) 감사원 전용 &gt; 자체감사활동 서면심사
현) 감사원 전용 &gt; 자체감사활동 기본심사</t>
  </si>
  <si>
    <t>국가법령정보센터에서 공공감사정보시스템으로 연계된 법령의 개정 이력을 공공감사 홈페이지로 전송하여 관리하는 기능을 제공하여야 함</t>
  </si>
  <si>
    <t xml:space="preserve"> - 시스템에 등록한 기관 및 사용자 목록을 조회하고, 사용자의 유형에 따른 업무 권한을 설정할 수 있는 기능을 제공하여야 함</t>
  </si>
  <si>
    <t xml:space="preserve"> - 감사원 내부 시스템으로부터 감사교육원 교육 수료정보를 감사담당자의 교육현황 정보에 연계 전송하는 기능을 제공하여야 함</t>
  </si>
  <si>
    <t xml:space="preserve"> - 법령, 업무 관련 자료, 감사연구원의 정책 및 연구보고서, 자체감사 결과 공개문 등에 대한 미리보기 기능을 제공하여야 함</t>
  </si>
  <si>
    <t xml:space="preserve"> - 감사계획(연간감사계획, 세부 감사계획)을 수립하는 기능을 제공하여야 함
 ㆍ감사계획서를 작성하는 기능을 제공하여야 함</t>
  </si>
  <si>
    <t xml:space="preserve"> - 제출된 자료 현황, 제목, 감사종류 등을 관리하고 자체감사활동 심사 등급 등 상세현황을 확인하는 기능을 제공하여야 함</t>
  </si>
  <si>
    <t xml:space="preserve"> - 연간감사계획과 무관하게 수시감사계획을 등록ㆍ변경할 수 있고, 감사반, 수감기관 등 세부정보를 등록하는 기능을 제공하여야 함</t>
  </si>
  <si>
    <t xml:space="preserve"> - 지정된 담당자는 사안에 따라서 자료보완을 요구하는 등 제보를 처리하거나 사유를 입력하고 각하하는 기능을 제공하여야 함</t>
  </si>
  <si>
    <t xml:space="preserve"> - 문화체육관광부 정책포털로부터 RSS를 통해 중앙행정기관의 감사 관련 뉴스, 동향, 이슈 등을 수신하는 기능을 제공하여야 함</t>
  </si>
  <si>
    <t>익명으로 제보를 등록하고 처리결과를 통보하는 기능을 제공하여야 함</t>
  </si>
  <si>
    <t>네비게이션 전략 수립을 통해 산출된 요구사항을 반영하여 구현해야 함</t>
  </si>
  <si>
    <t xml:space="preserve"> - 시스템 이용현황 및 통계 정보를 조회하는 기능을 제공하여야 함</t>
  </si>
  <si>
    <t>개인정보 탐지 기능을 수행하고 결과를 확인하는 기능을 제공하여야 함</t>
  </si>
  <si>
    <t xml:space="preserve"> - 전체ㆍ사용자 유형별 공지사항을 관리하는 기능을 제공하여야 함</t>
  </si>
  <si>
    <t>기타 세부사항은 주관부서 담당자의 요구사항 분석 후 적용하여야 함</t>
  </si>
  <si>
    <t>주무기관에서 산하기관의 감사업무 현황을 조회하는 기능을 제공하여야 함</t>
  </si>
  <si>
    <t>자체감사 관련 뉴스, 동향, 이슈 등을 게시하는 기능을 제공하여야 함</t>
  </si>
  <si>
    <t>이미지로 제작에 사용되는 폰트는 통일하여 깔끔한 이미지를 주도록 제작</t>
  </si>
  <si>
    <t>자체감사활동 콘테스트를 절차에 따라 관리하는 기능을 제공하여야 함</t>
  </si>
  <si>
    <t>감사결과에 따른 처분요구에 대한 재심의를 관리하는 기능을 제공하여야 함</t>
  </si>
  <si>
    <t>한국어 형태소 분석, 동의어/다의어 해석 등 자연어 처리기능 제공</t>
  </si>
  <si>
    <t>신규 국문 홈페이지와의 연계성, 통일성을 부여한 UI를 구성하여야 함</t>
  </si>
  <si>
    <t>감사결과를 확정하고 감사 대상기관에 시행하는 기능을 제공하여야 함</t>
  </si>
  <si>
    <t>Keycloak (아이덴티티 및 접근 관리에 통합 인증, 오픈소스)</t>
  </si>
  <si>
    <t>전자정부 표준프레임워크 기반으로 응용프로그램을 설계 및 구현하여야 함</t>
  </si>
  <si>
    <t xml:space="preserve"> - 조회조건에 따라 목록을 조회할 수 있는 기능을 제공하여야 함</t>
  </si>
  <si>
    <t>연계대상9. 징계통보
연계대상10. 범죄통보
연계대상11. 손망실통보</t>
  </si>
  <si>
    <t>UI 디자인은 개발 생산성 및 관리 용이성이 고려하여 개발하여야 함</t>
  </si>
  <si>
    <t xml:space="preserve"> - 수감기관에서 감사를 수감한 이력을 조회하는 기능을 제공하여야 함</t>
  </si>
  <si>
    <t xml:space="preserve"> - 전송할 대상자를 일괄 선택하고 발송하는 기능을 제공하여야 함</t>
  </si>
  <si>
    <t xml:space="preserve"> - 질의 의도가 명확하지 않을 때 대화가 지속될 수 있는 기능 제공</t>
  </si>
  <si>
    <t>- 표준업무절차정의
'- 위탁감사자의 시스템 사용권한 등을 임시 발급</t>
  </si>
  <si>
    <t>현행화면분석보고서(ISP자료 참조)
화면디자인가이드
화면설계가이드</t>
  </si>
  <si>
    <t xml:space="preserve"> - 자체감사기구의 감사대상기관 현황을 관리하는 기능을 제공하여야 함</t>
  </si>
  <si>
    <t xml:space="preserve"> - 기관별 통보현황을 확인하고, 추이를 분석하는 기능을 제공하여야 함</t>
  </si>
  <si>
    <t xml:space="preserve"> - 재심의 신청에 대한 처리 이력을 관리하는 기능을 제공하여야 함</t>
  </si>
  <si>
    <t xml:space="preserve"> - 총괄 점수를 관리하고 평가를 마감처리하는 기능을 제공하여야 함</t>
  </si>
  <si>
    <t>공공감사 홈페이지에 게시되는 정보를 관리하는 기능을 제공하여야 함</t>
  </si>
  <si>
    <t>외부 전무가의 역할과 참여방법은? (시스템권한, 계정 등 고려 필요)</t>
  </si>
  <si>
    <t xml:space="preserve"> - 유형별(이첩 민원, 직접조사) 실시 및 결과를 관리하는 기능을 제공하여야 함</t>
  </si>
  <si>
    <r>
      <t xml:space="preserve"> - </t>
    </r>
    <r>
      <rPr>
        <sz val="10"/>
        <color rgb="FFFF0000"/>
        <rFont val="맑은 고딕"/>
        <family val="3"/>
        <charset val="129"/>
      </rPr>
      <t>감사원 이외의 교육기관에서 수료한 교육을 일괄 등록하는 기능</t>
    </r>
    <r>
      <rPr>
        <sz val="10"/>
        <color rgb="FF000000"/>
        <rFont val="맑은 고딕"/>
        <family val="3"/>
        <charset val="129"/>
      </rPr>
      <t>을 제공하여야 함</t>
    </r>
  </si>
  <si>
    <r>
      <t xml:space="preserve"> - 감사원 이외의 교육기관에서 수료한 교육을 </t>
    </r>
    <r>
      <rPr>
        <sz val="10"/>
        <color rgb="FFFF0000"/>
        <rFont val="맑은 고딕"/>
        <family val="3"/>
        <charset val="129"/>
      </rPr>
      <t>일괄 등록</t>
    </r>
    <r>
      <rPr>
        <sz val="10"/>
        <color rgb="FF000000"/>
        <rFont val="맑은 고딕"/>
        <family val="3"/>
        <charset val="129"/>
      </rPr>
      <t>하는 기능을 제공하여야 함</t>
    </r>
  </si>
  <si>
    <r>
      <t xml:space="preserve">세부 감사계획이 자체감사심사 </t>
    </r>
    <r>
      <rPr>
        <sz val="10"/>
        <color rgb="FFFF0000"/>
        <rFont val="맑은 고딕"/>
        <family val="3"/>
        <charset val="129"/>
      </rPr>
      <t>실적으로 자동 반영</t>
    </r>
    <r>
      <rPr>
        <sz val="10"/>
        <color rgb="FF000000"/>
        <rFont val="맑은 고딕"/>
        <family val="3"/>
        <charset val="129"/>
      </rPr>
      <t>될 수 있도록 기능을 제공하여야 함</t>
    </r>
  </si>
  <si>
    <t xml:space="preserve"> - 심사계획서를 작성하는 기능을 제공하여야 함
 ㆍ온-나라 연계 기안을 통해 결재하는 기능을 제공하여야 함
 ㆍ결재자는 감사원 내부 시스템 및 내부 메신저 등을 통해 알림을 제공받고 내부 시스템에서 결재 처리할 수 있도록 하여야 함</t>
  </si>
  <si>
    <t xml:space="preserve"> - 유형별 처분요구 사항을 등록ㆍ변경하는 기능을 제공하여야 함
 ㆍ신분상 처분요구를 하는 경우 관련자의 인적사항을 기재하는 기능을 제공하여야 함
 ㆍ범죄 사실이 발견된 경우 범죄통보 항목으로 연결하여 입력하는 기능을 제공하여야 함
 ㆍ적극행정면책에 해당하는 경우 소명 증거자료, 검토결과를 입력하는 기능을 제공하여야 함</t>
  </si>
  <si>
    <t xml:space="preserve"> - 감사실시를 관리하는 기능을 제공하여야 함
 ㆍ세부 감사계획이 변경되는 경우 변경 사유, 변경 일자 등 변경 이력을 관리하는 기능을 제공하여야 함
 ㆍ감사실시 절차에 따라 감사를 실시하는 기능을 제공하여야 함
 ㆍ공지사항을 관리하는 기능을 제공하여야 함
 ㆍ감사원과 감사실시기관 간 질의ㆍ답변 기능을 제공하여야 함</t>
  </si>
  <si>
    <t xml:space="preserve"> - 변상판정에 대한 특수관리 사항을 관리하는 기능을 제공하여야 함
 ㆍ감사원 내부 시스템에서 특수관리사항을 지정ㆍ해제하면 그 내역을 연계 전송받아 현황을 확인할 수 있는 기능을 제공하여야 함
 ㆍ감사대상기관에서 특수관리사항을 신청하면 그 내역을 감사원 내부 시스템으로 연계 전송하여 현황을 확인할 수 있는 기능을 제공하여야 함</t>
  </si>
  <si>
    <t xml:space="preserve"> - 망실 또는 훼손, 징계 및 범죄 사실을 관리하는 기능을 제공하여야 함
 ㆍ현황 및 생년월일 등 관련자 정보를 등록ㆍ관리하고 입력값의 유효성을 확인하는 기능을 제공하여야 함
 ㆍ현황을 열람하는 경우 개인정보 열람 이력을 기록 관리하는 기능을 제공하여야 함
 ㆍ감사결과에 따른 처분요구와 연결하는 기능을 제공하여야 함
 ㆍ범죄의 경우 수사기관의 수사 관련 상세정보를 입력하고, 수사개시, 수사상황, 처분결과 등 절차에 따라 범죄 사실 이력을 관리하는 기능을 제공하여야 함
 ㆍ소송이 진행되는 경우 소송여부, 사건번호 등에 대한 추가 등록 기능을 제공하여야 함</t>
  </si>
  <si>
    <t>하나의 문서를 여러 사용자가 동시에 편집 가능하도록 기능을 제공하며, 사용자의 편집 내용이 다른 사용자의 화면에도 실시간으로 반영되도록 기능을 제공하여야 함</t>
  </si>
  <si>
    <t>스프레드시트는 한글과 컴퓨터 한셀, 마이크로소프트 엑셀과 호환이 가능해야 하며, 저장 시 xlsx, pdf, html, csv 등으로 선택 가능하여야 함</t>
  </si>
  <si>
    <t xml:space="preserve"> - 정부기능분류체계에 따라 감사분야를 현행화할 수 있어야 하며, 정부기능분류체계를 따르지 않을 경우 별도의 감사분야를 등록ㆍ관리하는 기능을 제공하여야 함</t>
  </si>
  <si>
    <t xml:space="preserve"> - 기관명이 변경·통합·폐지되는 경우 그 이력을 관리하여야 하고, 변경내역에 따라서 기존 데이터가 관리되어 연속성 있게 운영하는 기능을 제공하여야 함</t>
  </si>
  <si>
    <t xml:space="preserve"> - 기간을 정하여 감사대상, 분야 및 범위, 기간 등 감사실시 계획을 고려하여 감사계획을 등록ㆍ변경ㆍ확정하고, 변경에 따른 이력관리 기능을 제공하여야 함</t>
  </si>
  <si>
    <t>중앙행정기관, 지방자치단체 및 공공기관의 자체감사 규정을 등록ㆍ관리 기능을 제공하여야 하고, 자체감사 규정에 따라 업무처리가 가능하도록 기능을 제공하여야 함</t>
  </si>
  <si>
    <t>기존 기능에 UX를 적용하여 구현.
자체감사기구 편제에 연도를 표시하는 등 개선 요구사항을 반영하여 구현
자체감사기구현황에 행안부표준기관코드 항목 추가</t>
  </si>
  <si>
    <t xml:space="preserve"> - 심사계획을 관리하는 기능을 제공하여야 함
 ㆍ연도별 기관 유형에 따른 심사군을 등록ㆍ변경하고 이에 따라 심사대상기관을 관리하는 기능을 제공하여야 함</t>
  </si>
  <si>
    <t xml:space="preserve"> - 심사를 수행하는 심사평가자는 확정한 심사자료를 기준으로 정량평가 항목에 대한 자료를 조회하고 평가항목 조정 등을 통해 확정하는 기능을 제공하여야 함</t>
  </si>
  <si>
    <t xml:space="preserve"> - 공공감사 관련 정보, 자체감사활동 관련 정보 등과 연계·게시할 시간을 지정하고 등록하면 이에 따라 공공감사 홈페이지에 게시하는 기능을 제공하여야 함</t>
  </si>
  <si>
    <t xml:space="preserve"> SFR-006-004</t>
  </si>
  <si>
    <t>온라인 매뉴얼 및 법령 관리</t>
  </si>
  <si>
    <t>영문 공공감사 홈페이지</t>
  </si>
  <si>
    <t xml:space="preserve"> SFR-009-003</t>
  </si>
  <si>
    <t xml:space="preserve"> SFR-009-005</t>
  </si>
  <si>
    <t xml:space="preserve"> SFR-009-007</t>
  </si>
  <si>
    <t>서식 템플릿(전자감사참고)</t>
  </si>
  <si>
    <t>현) 협의 및 조정기능 없음</t>
  </si>
  <si>
    <t>현) 커뮤니티 &gt; 설문조사</t>
  </si>
  <si>
    <t>기관 및 자체감사기구 현황</t>
  </si>
  <si>
    <t xml:space="preserve"> SFR-009-004</t>
  </si>
  <si>
    <t>문자ㆍ메일 발송 및 모니터링</t>
  </si>
  <si>
    <t>자체감사활동 심사계획 수립</t>
  </si>
  <si>
    <t>감사 실무지식 통합관리</t>
  </si>
  <si>
    <t>공공감사 홈페이지 운영</t>
  </si>
  <si>
    <t>감사결과 시행 및 공개</t>
  </si>
  <si>
    <t>연계 – 연계메타데이터 관리</t>
  </si>
  <si>
    <t>자체감사활동 공유 채널</t>
  </si>
  <si>
    <t>jBPM-룰엔진(오픈소스)</t>
  </si>
  <si>
    <t>개인정보탐지(조달구매)</t>
  </si>
  <si>
    <t>적용가능한 솔루션(안)</t>
  </si>
  <si>
    <t xml:space="preserve"> SFR-006-003</t>
  </si>
  <si>
    <t xml:space="preserve"> SFR-006-005</t>
  </si>
  <si>
    <t>자체감사기구 감사업무 지원</t>
  </si>
  <si>
    <t>표준업무절차 정의 필요</t>
  </si>
  <si>
    <t>ActiveMQ base</t>
  </si>
  <si>
    <t xml:space="preserve"> SFR-009-008</t>
  </si>
  <si>
    <t>공공감사 홈페이지 관리</t>
  </si>
  <si>
    <t xml:space="preserve"> SFR-009-006</t>
  </si>
  <si>
    <t xml:space="preserve"> SFR-009-010</t>
  </si>
  <si>
    <t>연계대상7. 조치이행관리</t>
  </si>
  <si>
    <t xml:space="preserve"> SFR-006-001</t>
  </si>
  <si>
    <t>NoSQL DB(이력관리용)</t>
  </si>
  <si>
    <t xml:space="preserve"> SFR-009-009</t>
  </si>
  <si>
    <t xml:space="preserve"> SFR-006-002</t>
  </si>
  <si>
    <t>검색엔진S/W(조달구매)</t>
  </si>
  <si>
    <t>연계대상13. 적극행정지원</t>
  </si>
  <si>
    <t xml:space="preserve"> SFR-009-002</t>
  </si>
  <si>
    <t>- 메인화면 &gt; 대시보드</t>
  </si>
  <si>
    <t xml:space="preserve"> SFR-009-001</t>
  </si>
  <si>
    <t>감사원 적극행정 관리 기능</t>
  </si>
  <si>
    <t>연계대상4. 연간감사계획</t>
  </si>
  <si>
    <t>모범사례 발굴ㆍ전파 실적</t>
  </si>
  <si>
    <t>첨부파일 업로드ㆍ다운로드</t>
  </si>
  <si>
    <t xml:space="preserve"> - 역대 기관장 이력을 관리하는 기능을 제공하여야 함</t>
  </si>
  <si>
    <t xml:space="preserve"> - 시스템 이용에 대한 질문ㆍ답변 기능을 제공하여야 함</t>
  </si>
  <si>
    <t>PC, 모바일에서 동일한 폰트 렌더링을 제공하여야 함</t>
  </si>
  <si>
    <t>자체감사활동 심사실시를 관리하는 기능을 제공하여야 함</t>
  </si>
  <si>
    <t xml:space="preserve"> - 모범사례 전파실적을 조회하는 기능을 제공하여야 함</t>
  </si>
  <si>
    <t>감사활동 혁신 사례를 관리하는 기능을 제공하여야 함</t>
  </si>
  <si>
    <t>자체감사계획 종합대책을 관리하는 기능을 제공하여야 함</t>
  </si>
  <si>
    <t xml:space="preserve"> - 사용자 (유사)질의에 대한 의미 파악 기능 제공</t>
  </si>
  <si>
    <t>수감기관에 대한 정보를 조회하는 기능을 제공하여야 함</t>
  </si>
  <si>
    <t>자체감사활동 심사 이력을 관리하는 기능을 제공하여야 함</t>
  </si>
  <si>
    <t xml:space="preserve"> - 기관 일반현황을 관리하는 기능을 제공하여야 함</t>
  </si>
  <si>
    <t>현재 접속한 사용자를 표시하는 기능을 제공하여야 함</t>
  </si>
  <si>
    <t>최신 자동응답 기술을 적용한 챗봇 도입 및 기능 개발</t>
  </si>
  <si>
    <t xml:space="preserve">  ※ 검색엔진 S/W를 통해 검색 기능을 제공하여야 함</t>
  </si>
  <si>
    <t>자체감사활동 관련 통계를 조회하는 기능을 제공하여야 함</t>
  </si>
  <si>
    <t>익명으로 등록된 제보를 처리하는 기능을 제공하여야 함</t>
  </si>
  <si>
    <t xml:space="preserve"> - 제출된 자료를 다운로드하는 기능을 제공하여야 함</t>
  </si>
  <si>
    <t>공통결제모듈 개발
(편집기와 조인하여 기안기 작성 필요)</t>
  </si>
  <si>
    <t>감사전문가 넷을 등록ㆍ관리하는 기능을 제공하여야 함</t>
  </si>
  <si>
    <t>현) 자체감사 &gt; 민원조사 관리 &gt; 민원조사 실시결과</t>
  </si>
  <si>
    <t xml:space="preserve"> - 공공감사 홈페이지와는 다른 디자인을 적용하여야 함</t>
  </si>
  <si>
    <t xml:space="preserve"> - 감사인의 회계감사 보고서 제출 기능을 제공하여야 함</t>
  </si>
  <si>
    <t>감사계획서 등 문서를 작성하는 기능을 제공하여야 함</t>
  </si>
  <si>
    <t>내부 연계를 통한 송수신 기능을 설계하고 구현하여야 함</t>
  </si>
  <si>
    <t>이행상황 관리의 경우 세부 관리기능을 제공하여야 함</t>
  </si>
  <si>
    <t>감사 수감기관별 현황을 조회하는 기능을 제공하여야 함</t>
  </si>
  <si>
    <t>유료 웹 폰트 사용시 발생되는 비용은 제안사가 부담</t>
  </si>
  <si>
    <t xml:space="preserve"> - 사용자별 서식을 관리하는 기능을 제공하여야 함</t>
  </si>
  <si>
    <t>기관별 사용자 계정을 관리하는 기능을 제공하여야 함</t>
  </si>
  <si>
    <t>사용자의 첨부파일 업로드를 관리하는 기능을 제공하여야 함</t>
  </si>
  <si>
    <t>https://hhseong.tistory.com/179</t>
  </si>
  <si>
    <t>외부 전문가 등의 참여를 관리하는 기능을 제공하여야 함</t>
  </si>
  <si>
    <t>문자메시지, 메일로 대상유형별 알림을 제공하여야 함</t>
  </si>
  <si>
    <t>외부연계를 통한 송수신 기능을 설계하고 구현하여야 함</t>
  </si>
  <si>
    <t>검색엔진S/W(조달구매)
문서스트리밍S/W(조달구매)</t>
  </si>
  <si>
    <t xml:space="preserve"> - 코딩, 메시지 등 표준을 제시하고 준수해야 함</t>
  </si>
  <si>
    <t>현) 각 메뉴별로 조회기능 제공
 - 재심의는 없음</t>
  </si>
  <si>
    <t xml:space="preserve"> - 인원 및 예산을 관리하는 기능을 제공하여야 함</t>
  </si>
  <si>
    <t xml:space="preserve"> - 심사결과 보고서를 관리하는 기능을 제공하여야 함</t>
  </si>
  <si>
    <t>챗봇 업무에 적용 가능한 응답지식 후보 추천 기능 개발</t>
  </si>
  <si>
    <t xml:space="preserve"> - 자료보완요구 시 담당자 알림 기능을 제공하여야 함</t>
  </si>
  <si>
    <t>자체감사기구의 민원조사를 관리하는 기능을 제공하여야 함</t>
  </si>
  <si>
    <t>체계적이고 자동화된 개발 및 운영환경을 구성하여야 함</t>
  </si>
  <si>
    <r>
      <t xml:space="preserve"> - </t>
    </r>
    <r>
      <rPr>
        <sz val="10"/>
        <color rgb="FFFF0000"/>
        <rFont val="맑은 고딕"/>
        <family val="3"/>
        <charset val="129"/>
      </rPr>
      <t>재심의 결정 사례를 조회</t>
    </r>
    <r>
      <rPr>
        <sz val="10"/>
        <color rgb="FF000000"/>
        <rFont val="맑은 고딕"/>
        <family val="3"/>
        <charset val="129"/>
      </rPr>
      <t>하는 기능을 제공하여야 함</t>
    </r>
  </si>
  <si>
    <r>
      <t xml:space="preserve"> - </t>
    </r>
    <r>
      <rPr>
        <sz val="10"/>
        <color rgb="FFFF0000"/>
        <rFont val="맑은 고딕"/>
        <family val="3"/>
        <charset val="129"/>
      </rPr>
      <t>재심의 청구</t>
    </r>
    <r>
      <rPr>
        <sz val="10"/>
        <color rgb="FF000000"/>
        <rFont val="맑은 고딕"/>
        <family val="3"/>
        <charset val="129"/>
      </rPr>
      <t>를 안내하고 청구 서식을 제공하는 기능을 제공하여야 함</t>
    </r>
  </si>
  <si>
    <t xml:space="preserve"> - 우수 지식 및 최신 지식에 대한 검색어 추천, 검색 빈도가 높은 순위의 검색어 안내, 사용자별로 최근 및 자주 사용한 검색어를 저장ㆍ관리하는 기능을 제공하여야 함</t>
  </si>
  <si>
    <t xml:space="preserve"> - 심사 대상기관에서 심사자료를 제출(보완 제출 기능 포함)하고 제출을 확정하는 기능을 제공하여야 함
 ㆍ정량평가 항목에 대한 심사를 확정하는 기능을 제공하여야 함</t>
  </si>
  <si>
    <t xml:space="preserve"> - 통합 검색 기능을 제공하여야 함</t>
  </si>
  <si>
    <t>첨부파일 추가, 삭제 및 순서 변경을 지원</t>
  </si>
  <si>
    <t>자동응답 기반 질의 의도 응답 기능 개발</t>
  </si>
  <si>
    <t>내부연계하는 감사활동정보 범위 결정 필요</t>
  </si>
  <si>
    <t>기준정보를 관리하는 기능을 제공하여야 함</t>
  </si>
  <si>
    <t>현) 커뮤니티 &gt; 자체감사계획 종합대책</t>
  </si>
  <si>
    <t>jBPM(오픈소스)
웹문서편집기(조달구매)</t>
  </si>
  <si>
    <t>현) 종합정보검색 &gt; 검사계획.실시현황</t>
  </si>
  <si>
    <t>한국어 외 영문 홈페이지를 구축하여야 함</t>
  </si>
  <si>
    <t xml:space="preserve">감사원 내부 시스템과의 연계 대상 목록 </t>
  </si>
  <si>
    <t>기관 현황을 관리하는 기능을 제공하여야 함</t>
  </si>
  <si>
    <t xml:space="preserve"> - 대화 시 챗봇 주도의 대화 기능 제공</t>
  </si>
  <si>
    <t>기관현황&gt;자체감사기구
기관현황&gt;기관현황</t>
  </si>
  <si>
    <t>현) 종합정보검색 &gt; 기관별 감사실적</t>
  </si>
  <si>
    <t>- 현) 시스템운영 &gt; 기관공지사항관리</t>
  </si>
  <si>
    <t>시스템을 관리하는 기능을 제공하여야 함</t>
  </si>
  <si>
    <t>UI/UX 솔루션 (퀵서치(자동검색))</t>
  </si>
  <si>
    <t>-전자정부표준프레이워크 적용(버전 4.0)</t>
  </si>
  <si>
    <t>「감사원법」 제29조에 따른 범죄 사실</t>
  </si>
  <si>
    <r>
      <t>자체감사활동&gt;감사계획</t>
    </r>
    <r>
      <rPr>
        <sz val="10"/>
        <color rgb="FF000000"/>
        <rFont val="맑은 고딕"/>
        <family val="3"/>
        <charset val="129"/>
      </rPr>
      <t>·실시·결과 관리 기능</t>
    </r>
  </si>
  <si>
    <t>SFR-042-008</t>
  </si>
  <si>
    <t>SFR-041-006</t>
  </si>
  <si>
    <t>SFR-041-003</t>
  </si>
  <si>
    <t>SFR-042-009</t>
  </si>
  <si>
    <t>SFR-041-004</t>
  </si>
  <si>
    <t>SFR-039-003</t>
  </si>
  <si>
    <t>SFR-040-003</t>
  </si>
  <si>
    <t>SFR-041-005</t>
  </si>
  <si>
    <t>SFR-042-003</t>
  </si>
  <si>
    <t>SFR-042-004</t>
  </si>
  <si>
    <t>SFR-042-001</t>
  </si>
  <si>
    <t>SFR-043-016</t>
  </si>
  <si>
    <t>SFR-043-006</t>
  </si>
  <si>
    <t>SFR-043-002</t>
  </si>
  <si>
    <t>SFR-043-001</t>
  </si>
  <si>
    <t>SFR-042-002</t>
  </si>
  <si>
    <t>SFR-043-004</t>
  </si>
  <si>
    <t>SFR-042-007</t>
  </si>
  <si>
    <t>SFR-043-007</t>
  </si>
  <si>
    <t>SFR-042-006</t>
  </si>
  <si>
    <t>SFR-043-014</t>
  </si>
  <si>
    <t>SFR-042-011</t>
  </si>
  <si>
    <t>SFR-042-010</t>
  </si>
  <si>
    <t>SFR-041-007</t>
  </si>
  <si>
    <t>SFR-043-003</t>
  </si>
  <si>
    <t>SFR-043-011</t>
  </si>
  <si>
    <t>SFR-041-002</t>
  </si>
  <si>
    <t>SFR-043-009</t>
  </si>
  <si>
    <t>SFR-043-010</t>
  </si>
  <si>
    <t>SFR-043-008</t>
  </si>
  <si>
    <t>SFR-044-007</t>
  </si>
  <si>
    <t>SFR-043-017</t>
  </si>
  <si>
    <t>SFR-044-005</t>
  </si>
  <si>
    <t>SFR-044-003</t>
  </si>
  <si>
    <t>SFR-044-004</t>
  </si>
  <si>
    <t>SFR-044-006</t>
  </si>
  <si>
    <t>SFR-044-008</t>
  </si>
  <si>
    <t>SFR-043-015</t>
  </si>
  <si>
    <t>SFR-043-012</t>
  </si>
  <si>
    <t>SFR-043-013</t>
  </si>
  <si>
    <t>SFR-045-001</t>
  </si>
  <si>
    <t>SFR-044-009</t>
  </si>
  <si>
    <t>SFR-042-005</t>
  </si>
  <si>
    <t>SFR-043-005</t>
  </si>
  <si>
    <t>SFR-014-001</t>
  </si>
  <si>
    <t>SFR-044-001</t>
  </si>
  <si>
    <t>SFR-044-011</t>
  </si>
  <si>
    <t>SFR-045-002</t>
  </si>
  <si>
    <t>SFR-045-008</t>
  </si>
  <si>
    <t>SFR-045-004</t>
  </si>
  <si>
    <t>SFR-043-019</t>
  </si>
  <si>
    <t>SFR-045-003</t>
  </si>
  <si>
    <t>SFR-012-004</t>
  </si>
  <si>
    <t>SFR-043-018</t>
  </si>
  <si>
    <t>SFR-045-007</t>
  </si>
  <si>
    <t>SFR-044-002</t>
  </si>
  <si>
    <t>SFR-045-006</t>
  </si>
  <si>
    <t>SFR-045-009</t>
  </si>
  <si>
    <t>SFR-044-010</t>
  </si>
  <si>
    <t>SFR-012-005</t>
  </si>
  <si>
    <t>SFR-013-003</t>
  </si>
  <si>
    <t>SFR-014-002</t>
  </si>
  <si>
    <t>SFR-013-005</t>
  </si>
  <si>
    <t>SFR-012-006</t>
  </si>
  <si>
    <t>SFR-012-003</t>
  </si>
  <si>
    <t>SFR-012-001</t>
  </si>
  <si>
    <t>SFR-013-007</t>
  </si>
  <si>
    <t>SFR-012-002</t>
  </si>
  <si>
    <t>SFR-013-006</t>
  </si>
  <si>
    <t>SFR-045-005</t>
  </si>
  <si>
    <t>SFR-015-004</t>
  </si>
  <si>
    <t>SFR-013-004</t>
  </si>
  <si>
    <t>SFR-012-007</t>
  </si>
  <si>
    <t>SFR-014-008</t>
  </si>
  <si>
    <t>SFR-013-001</t>
  </si>
  <si>
    <t>SFR-014-007</t>
  </si>
  <si>
    <t>SFR-016-001</t>
  </si>
  <si>
    <t>SFR-014-005</t>
  </si>
  <si>
    <t>SFR-013-002</t>
  </si>
  <si>
    <t>SFR-016-004</t>
  </si>
  <si>
    <t>SFR-017-008</t>
  </si>
  <si>
    <t>SFR-017-009</t>
  </si>
  <si>
    <t>SFR-014-003</t>
  </si>
  <si>
    <t>SFR-015-007</t>
  </si>
  <si>
    <t>SFR-014-004</t>
  </si>
  <si>
    <t>SFR-015-005</t>
  </si>
  <si>
    <t>SFR-014-006</t>
  </si>
  <si>
    <t>SFR-014-010</t>
  </si>
  <si>
    <t>SFR-015-006</t>
  </si>
  <si>
    <t>SFR-014-009</t>
  </si>
  <si>
    <t>SFR-015-001</t>
  </si>
  <si>
    <t>SFR-015-002</t>
  </si>
  <si>
    <t>SFR-017-005</t>
  </si>
  <si>
    <t>SFR-018-005</t>
  </si>
  <si>
    <t>SFR-016-002</t>
  </si>
  <si>
    <t>SFR-018-006</t>
  </si>
  <si>
    <t>SFR-016-003</t>
  </si>
  <si>
    <t>SFR-020-002</t>
  </si>
  <si>
    <t>SFR-017-001</t>
  </si>
  <si>
    <t>SFR-018-004</t>
  </si>
  <si>
    <t>SFR-015-003</t>
  </si>
  <si>
    <t>SFR-018-002</t>
  </si>
  <si>
    <t>SFR-018-001</t>
  </si>
  <si>
    <t>SFR-017-003</t>
  </si>
  <si>
    <t>SFR-017-006</t>
  </si>
  <si>
    <t>SFR-017-004</t>
  </si>
  <si>
    <t>SFR-019-005</t>
  </si>
  <si>
    <t>SFR-019-008</t>
  </si>
  <si>
    <t>SFR-019-010</t>
  </si>
  <si>
    <t>SFR-019-006</t>
  </si>
  <si>
    <t>SFR-019-002</t>
  </si>
  <si>
    <t>SFR-019-009</t>
  </si>
  <si>
    <t>SFR-020-005</t>
  </si>
  <si>
    <t>SFR-022-001</t>
  </si>
  <si>
    <t>SFR-017-002</t>
  </si>
  <si>
    <t>SFR-019-003</t>
  </si>
  <si>
    <t>SFR-019-004</t>
  </si>
  <si>
    <t>SFR-020-001</t>
  </si>
  <si>
    <t>SFR-022-006</t>
  </si>
  <si>
    <t>SFR-019-007</t>
  </si>
  <si>
    <t>SFR-018-003</t>
  </si>
  <si>
    <t>SFR-020-003</t>
  </si>
  <si>
    <t>SFR-021-005</t>
  </si>
  <si>
    <t>SFR-023-003</t>
  </si>
  <si>
    <t>SFR-021-004</t>
  </si>
  <si>
    <t>SFR-022-004</t>
  </si>
  <si>
    <t>SFR-021-001</t>
  </si>
  <si>
    <t>SFR-023-014</t>
  </si>
  <si>
    <t>SFR-023-012</t>
  </si>
  <si>
    <t>SFR-021-003</t>
  </si>
  <si>
    <t>SFR-020-006</t>
  </si>
  <si>
    <t>SFR-020-004</t>
  </si>
  <si>
    <t>SFR-021-006</t>
  </si>
  <si>
    <t>SFR-022-003</t>
  </si>
  <si>
    <t>SFR-022-002</t>
  </si>
  <si>
    <t>SFR-019-001</t>
  </si>
  <si>
    <t>SFR-022-005</t>
  </si>
  <si>
    <t>SFR-023-004</t>
  </si>
  <si>
    <t>SFR-023-006</t>
  </si>
  <si>
    <t>SFR-023-008</t>
  </si>
  <si>
    <t>SFR-023-005</t>
  </si>
  <si>
    <t>SFR-023-011</t>
  </si>
  <si>
    <t>SFR-021-007</t>
  </si>
  <si>
    <t>SFR-023-010</t>
  </si>
  <si>
    <t>SFR-024-001</t>
  </si>
  <si>
    <t>SFR-023-015</t>
  </si>
  <si>
    <t>SFR-023-013</t>
  </si>
  <si>
    <t>SFR-023-009</t>
  </si>
  <si>
    <t>SFR-025-002</t>
  </si>
  <si>
    <t>SFR-023-002</t>
  </si>
  <si>
    <t>SFR-025-001</t>
  </si>
  <si>
    <t>SFR-023-007</t>
  </si>
  <si>
    <t>UI/UX 솔루션</t>
  </si>
  <si>
    <t>SFR-021-002</t>
  </si>
  <si>
    <t>SFR-024-004</t>
  </si>
  <si>
    <t>SFR-002-005</t>
  </si>
  <si>
    <t>SFR-024-002</t>
  </si>
  <si>
    <t>제보기능 신설?</t>
  </si>
  <si>
    <t>SFR-023-001</t>
  </si>
  <si>
    <t>웹 매뉴얼 제작</t>
  </si>
  <si>
    <t>SFR-024-008</t>
  </si>
  <si>
    <t>SFR-002-006</t>
  </si>
  <si>
    <t>요구사항상세내용</t>
  </si>
  <si>
    <t>SFR-024-007</t>
  </si>
  <si>
    <t>SFR-024-003</t>
  </si>
  <si>
    <t>SFR-024-006</t>
  </si>
  <si>
    <t>챗봇S/W(자체구매)</t>
  </si>
  <si>
    <t>공통모듈 및 툴개발</t>
  </si>
  <si>
    <t>SFR-025-003</t>
  </si>
  <si>
    <t>SFR-004-001</t>
  </si>
  <si>
    <t>jBPM (오픈소스)</t>
  </si>
  <si>
    <t>SFR-001-004</t>
  </si>
  <si>
    <t>SFR-024-005</t>
  </si>
  <si>
    <t>SFR-004-003</t>
  </si>
  <si>
    <t>SFR-002-017</t>
  </si>
  <si>
    <t>메일,SMS알람</t>
  </si>
  <si>
    <t>SFR-002-019</t>
  </si>
  <si>
    <t>SFR-001-001</t>
  </si>
  <si>
    <t>SFR-001-007</t>
  </si>
  <si>
    <t>SFR-002-003</t>
  </si>
  <si>
    <t>SFR-001-002</t>
  </si>
  <si>
    <t>SFR-001-003</t>
  </si>
  <si>
    <t>SFR-001-008</t>
  </si>
  <si>
    <t>현) Q&amp;A 1976</t>
  </si>
  <si>
    <t>SFR-002-002</t>
  </si>
  <si>
    <t>SFR-002-015</t>
  </si>
  <si>
    <t>SFR-001-006</t>
  </si>
  <si>
    <t>SFR-004-005</t>
  </si>
  <si>
    <t>SFR-002-011</t>
  </si>
  <si>
    <t>SFR-005-003</t>
  </si>
  <si>
    <t>SFR-002-014</t>
  </si>
  <si>
    <t>SFR-002-004</t>
  </si>
  <si>
    <t>SFR-002-008</t>
  </si>
  <si>
    <t>SFR-001-009</t>
  </si>
  <si>
    <t>SFR-001-010</t>
  </si>
  <si>
    <t>SFR-002-001</t>
  </si>
  <si>
    <t>SFR-001-005</t>
  </si>
  <si>
    <t>SFR-002-018</t>
  </si>
  <si>
    <t>SFR-002-016</t>
  </si>
  <si>
    <t>SFR-005-002</t>
  </si>
  <si>
    <t>SFR-002-009</t>
  </si>
  <si>
    <t>SFR-007-005</t>
  </si>
  <si>
    <t>SFR-007-008</t>
  </si>
  <si>
    <t>SFR-004-006</t>
  </si>
  <si>
    <t>SFR-005-004</t>
  </si>
  <si>
    <t>SFR-004-002</t>
  </si>
  <si>
    <t>SFR-002-013</t>
  </si>
  <si>
    <t>SFR-002-012</t>
  </si>
  <si>
    <t>SFR-002-010</t>
  </si>
  <si>
    <t>SFR-007-001</t>
  </si>
  <si>
    <t>SFR-004-004</t>
  </si>
  <si>
    <t>SFR-002-007</t>
  </si>
  <si>
    <t>SFR-008-001</t>
  </si>
  <si>
    <t>SFR-007-002</t>
  </si>
  <si>
    <t>SFR-007-003</t>
  </si>
  <si>
    <t>SFR-004-008</t>
  </si>
  <si>
    <t>SFR-008-007</t>
  </si>
  <si>
    <t>SFR-008-009</t>
  </si>
  <si>
    <t>SFR-010-003</t>
  </si>
  <si>
    <t>SFR-010-002</t>
  </si>
  <si>
    <t>SFR-007-006</t>
  </si>
  <si>
    <t>SFR-004-007</t>
  </si>
  <si>
    <t>SFR-008-010</t>
  </si>
  <si>
    <t>SFR-007-004</t>
  </si>
  <si>
    <t>SFR-008-006</t>
  </si>
  <si>
    <t>SFR-008-008</t>
  </si>
  <si>
    <t>SFR-005-001</t>
  </si>
  <si>
    <t>SFR-010-001</t>
  </si>
  <si>
    <t>SFR-010-009</t>
  </si>
  <si>
    <t>SFR-008-004</t>
  </si>
  <si>
    <t>SFR-008-002</t>
  </si>
  <si>
    <t>SFR-010-005</t>
  </si>
  <si>
    <t>SFR-010-004</t>
  </si>
  <si>
    <t>SFR-010-006</t>
  </si>
  <si>
    <t>SFR-010-007</t>
  </si>
  <si>
    <t>SFR-011-006</t>
  </si>
  <si>
    <t>SFR-011-002</t>
  </si>
  <si>
    <t>SFR-011-005</t>
  </si>
  <si>
    <t>SFR-010-008</t>
  </si>
  <si>
    <t>SFR-008-003</t>
  </si>
  <si>
    <t>SFR-007-007</t>
  </si>
  <si>
    <t>SFR-008-005</t>
  </si>
  <si>
    <t>SFR-011-007</t>
  </si>
  <si>
    <t>SFR-011-003</t>
  </si>
  <si>
    <t>SFR-011-004</t>
  </si>
  <si>
    <t>SFR-011-001</t>
  </si>
  <si>
    <t>SFR-011-008</t>
  </si>
  <si>
    <t>SFR-036-007</t>
  </si>
  <si>
    <t>SFR-035-003</t>
  </si>
  <si>
    <t>SFR-036-010</t>
  </si>
  <si>
    <t>SFR-034-008</t>
  </si>
  <si>
    <t>SFR-036-005</t>
  </si>
  <si>
    <t>SFR-037-004</t>
  </si>
  <si>
    <t>SFR-033-003</t>
  </si>
  <si>
    <t>SFR-036-002</t>
  </si>
  <si>
    <t>SFR-034-003</t>
  </si>
  <si>
    <t>SFR-035-005</t>
  </si>
  <si>
    <t>SFR-033-002</t>
  </si>
  <si>
    <t>SFR-040-005</t>
  </si>
  <si>
    <t>SFR-035-004</t>
  </si>
  <si>
    <t>SFR-040-001</t>
  </si>
  <si>
    <t>SFR-036-003</t>
  </si>
  <si>
    <t>SFR-037-006</t>
  </si>
  <si>
    <t>SFR-039-002</t>
  </si>
  <si>
    <t>SFR-040-002</t>
  </si>
  <si>
    <t>SFR-035-002</t>
  </si>
  <si>
    <t>SFR-034-009</t>
  </si>
  <si>
    <t>SFR-039-004</t>
  </si>
  <si>
    <t>SFR-034-007</t>
  </si>
  <si>
    <t>SFR-036-006</t>
  </si>
  <si>
    <t>SFR-036-001</t>
  </si>
  <si>
    <t>SFR-036-011</t>
  </si>
  <si>
    <t>세부 감사계획 수립</t>
  </si>
  <si>
    <t xml:space="preserve"> SFR-009</t>
  </si>
  <si>
    <t>감사결과 사후관리</t>
  </si>
  <si>
    <t>연간 감사계획 수립</t>
  </si>
  <si>
    <t>SFR-036-004</t>
  </si>
  <si>
    <t>감사활동정보 통보</t>
  </si>
  <si>
    <t>SFR-038-001</t>
  </si>
  <si>
    <t>자료요구 및 제출</t>
  </si>
  <si>
    <t xml:space="preserve"> SFR-006</t>
  </si>
  <si>
    <t>전체 시스템관리</t>
  </si>
  <si>
    <t>SFR-039-005</t>
  </si>
  <si>
    <t>SFR-039-001</t>
  </si>
  <si>
    <t>SFR-036-008</t>
  </si>
  <si>
    <t>SFR-036-009</t>
  </si>
  <si>
    <t>SFR-038-002</t>
  </si>
  <si>
    <t>감사원 대행ㆍ위탁감사</t>
  </si>
  <si>
    <t>나래배움터연계?</t>
  </si>
  <si>
    <t>연계 - 내부연계</t>
  </si>
  <si>
    <t>사용자 권한 관리</t>
  </si>
  <si>
    <t>감사지식 및 공유</t>
  </si>
  <si>
    <t>감사원 감사업무 지원</t>
  </si>
  <si>
    <t>감사전문가 넷 관리</t>
  </si>
  <si>
    <t>사용자 경험 설계</t>
  </si>
  <si>
    <t>연계 - 외부연계</t>
  </si>
  <si>
    <t>감사원 결산업무 지원</t>
  </si>
  <si>
    <t>외부 인사시스템?</t>
  </si>
  <si>
    <t>표준업무절차정의</t>
  </si>
  <si>
    <t>웹 스프레스쉬트</t>
  </si>
  <si>
    <t>웹 문서 편집기</t>
  </si>
  <si>
    <t>기관별 시스템관리</t>
  </si>
  <si>
    <t>전자정부표준프레임워크</t>
  </si>
  <si>
    <t>LMS(교육관리기능)</t>
  </si>
  <si>
    <t>jBPM(오픈소스)</t>
  </si>
  <si>
    <t>LMS(별도메뉴구성)</t>
  </si>
  <si>
    <t>연계솔루션(조달구매)</t>
  </si>
  <si>
    <t>EXCEL TO DB</t>
  </si>
  <si>
    <t>수행사 사업책임자</t>
  </si>
  <si>
    <t>주관기관 담당자</t>
  </si>
  <si>
    <t>요구사항상세ID</t>
  </si>
  <si>
    <t>서식 최초 생성</t>
  </si>
  <si>
    <t>SFR-040-006</t>
  </si>
  <si>
    <t>범죄 사실 발견 즉시</t>
  </si>
  <si>
    <t>SFR-036-014</t>
  </si>
  <si>
    <t>SFR-041-001</t>
  </si>
  <si>
    <t>자체감사결과 모범사례</t>
  </si>
  <si>
    <t>SFR-037-002</t>
  </si>
  <si>
    <t>감사 실시 현황</t>
  </si>
  <si>
    <t>감사원 제출 작성자료</t>
  </si>
  <si>
    <t>SFR-040-004</t>
  </si>
  <si>
    <t>SFR-036-013</t>
  </si>
  <si>
    <t>감사계획(연간)</t>
  </si>
  <si>
    <t>SFR-040-007</t>
  </si>
  <si>
    <t>자체감사기구현황</t>
  </si>
  <si>
    <t>일상감사 실시 결과</t>
  </si>
  <si>
    <t>SFR-037-001</t>
  </si>
  <si>
    <t>SFR-037-005</t>
  </si>
  <si>
    <t>SFR-027-006</t>
  </si>
  <si>
    <t>SFR-025-010</t>
  </si>
  <si>
    <t>SFR-028-005</t>
  </si>
  <si>
    <t>SFR-025-008</t>
  </si>
  <si>
    <t>SFR-025-004</t>
  </si>
  <si>
    <t>SFR-026-004</t>
  </si>
  <si>
    <t>SFR-025-009</t>
  </si>
  <si>
    <t>SFR-025-006</t>
  </si>
  <si>
    <t>SFR-025-007</t>
  </si>
  <si>
    <t>SFR-027-004</t>
  </si>
  <si>
    <t>SFR-036-015</t>
  </si>
  <si>
    <t>감사계획(수시)</t>
  </si>
  <si>
    <t>SFR-036-012</t>
  </si>
  <si>
    <t>SFR-037-003</t>
  </si>
  <si>
    <t>SFR-028-015</t>
  </si>
  <si>
    <t>SFR-027-001</t>
  </si>
  <si>
    <t>SFR-027-003</t>
  </si>
  <si>
    <t>SFR-025-005</t>
  </si>
  <si>
    <t>SFR-028-007</t>
  </si>
  <si>
    <t>SFR-025-011</t>
  </si>
  <si>
    <t>SFR-028-010</t>
  </si>
  <si>
    <t>SFR-028-017</t>
  </si>
  <si>
    <t>SFR-028-016</t>
  </si>
  <si>
    <t>SFR-028-004</t>
  </si>
  <si>
    <t>SFR-027-002</t>
  </si>
  <si>
    <t>SFR-027-005</t>
  </si>
  <si>
    <t>SFR-028-013</t>
  </si>
  <si>
    <t>SFR-028-003</t>
  </si>
  <si>
    <t>SFR-026-002</t>
  </si>
  <si>
    <t>SFR-028-011</t>
  </si>
  <si>
    <t>SFR-028-014</t>
  </si>
  <si>
    <t>SFR-030-004</t>
  </si>
  <si>
    <t>SFR-029-001</t>
  </si>
  <si>
    <t>SFR-031-003</t>
  </si>
  <si>
    <t>SFR-030-002</t>
  </si>
  <si>
    <t>SFR-030-003</t>
  </si>
  <si>
    <t>SFR-026-001</t>
  </si>
  <si>
    <t>SFR-029-005</t>
  </si>
  <si>
    <t>SFR-028-001</t>
  </si>
  <si>
    <t>SFR-029-002</t>
  </si>
  <si>
    <t>SFR-031-004</t>
  </si>
  <si>
    <t>SFR-026-003</t>
  </si>
  <si>
    <t>SFR-029-006</t>
  </si>
  <si>
    <t>SFR-029-008</t>
  </si>
  <si>
    <t>SFR-029-004</t>
  </si>
  <si>
    <t>SFR-028-008</t>
  </si>
  <si>
    <t>SFR-032-008</t>
  </si>
  <si>
    <t>SFR-031-006</t>
  </si>
  <si>
    <t>SFR-028-006</t>
  </si>
  <si>
    <t>SFR-028-002</t>
  </si>
  <si>
    <t>SFR-031-008</t>
  </si>
  <si>
    <t>SFR-030-006</t>
  </si>
  <si>
    <t>SFR-029-007</t>
  </si>
  <si>
    <t>SFR-032-003</t>
  </si>
  <si>
    <t>SFR-030-005</t>
  </si>
  <si>
    <t>SFR-031-001</t>
  </si>
  <si>
    <t>SFR-032-010</t>
  </si>
  <si>
    <t>SFR-028-012</t>
  </si>
  <si>
    <t>SFR-029-003</t>
  </si>
  <si>
    <t>SFR-030-001</t>
  </si>
  <si>
    <t>SFR-032-007</t>
  </si>
  <si>
    <t>SFR-028-009</t>
  </si>
  <si>
    <t>SFR-033-004</t>
  </si>
  <si>
    <t>SFR-031-007</t>
  </si>
  <si>
    <t>SFR-032-002</t>
  </si>
  <si>
    <t>SFR-032-001</t>
  </si>
  <si>
    <t>SFR-035-001</t>
  </si>
  <si>
    <t>SFR-034-001</t>
  </si>
  <si>
    <t>SFR-032-004</t>
  </si>
  <si>
    <t>SFR-032-005</t>
  </si>
  <si>
    <t>SFR-034-006</t>
  </si>
  <si>
    <t>SFR-034-002</t>
  </si>
  <si>
    <t>SFR-032-011</t>
  </si>
  <si>
    <t>SFR-032-009</t>
  </si>
  <si>
    <t>SFR-031-002</t>
  </si>
  <si>
    <t>SFR-032-006</t>
  </si>
  <si>
    <t>SFR-031-005</t>
  </si>
  <si>
    <t>SFR-034-005</t>
  </si>
  <si>
    <t>SFR-033-001</t>
  </si>
  <si>
    <t>SFR-034-004</t>
  </si>
  <si>
    <t>SFR-032-012</t>
  </si>
  <si>
    <t>SFR-034-010</t>
  </si>
  <si>
    <t xml:space="preserve"> - 이미지, 동영상 등을 스트리밍 형태로 페이지 내에서 미리보기 하거나 재생하는 기능을 제공하여야 함 </t>
  </si>
  <si>
    <t xml:space="preserve"> - 기관별 감사원 담당부서 및 다른 기관의 감사담당자에 대한 연락정보를 조회하는 기능을 제공하여야 함</t>
  </si>
  <si>
    <t xml:space="preserve"> ※ 개인정보 탐지 S/W를 통해 기록되는 로그를 바탕으로 위 기능을 시스템 관리자 메뉴에 구성하여야 함</t>
  </si>
  <si>
    <t xml:space="preserve"> - 프레임워크 구축은 발주기관과 협의하에 진행되어야 하며 개발 이전에 매뉴얼 및 개발지침을 제공하여야 함</t>
  </si>
  <si>
    <t>외부 자체감사기구 시스템으로부터 감사결과 시행 및 공개정보를 연계 전송받을 수 있도록 기능을 제공하여야 함</t>
  </si>
  <si>
    <t>업무를 쉽고, 빠르고, 편리하게 수행할 수 있도록 UI 화면에 대해 일관된 퍼블리싱 작업을 수행해야 함</t>
  </si>
  <si>
    <t>SFR-017-007</t>
    <phoneticPr fontId="13" type="noConversion"/>
  </si>
  <si>
    <t>· 기존 공감시스템 내 불편사항을 최대한 반영함.
  - 탭에 대한 불편함
  - 불필요한 입력항목 제거</t>
    <phoneticPr fontId="13" type="noConversion"/>
  </si>
  <si>
    <t>· OpenAPI</t>
    <phoneticPr fontId="13" type="noConversion"/>
  </si>
  <si>
    <t>· 외부연계(신규)
  - 기존: 내용만 연계 -&gt; 변경: 첨부파일만 연계</t>
    <phoneticPr fontId="13" type="noConversion"/>
  </si>
  <si>
    <t>· 내부시스템=처분결과연계+공개문(new)
· 외부시스템=OPEN API</t>
    <phoneticPr fontId="13" type="noConversion"/>
  </si>
  <si>
    <t>· OpenApi</t>
    <phoneticPr fontId="13" type="noConversion"/>
  </si>
  <si>
    <t>· 감사원 시스템 관리자에 한해 처리기한 수정기능 추가
  - 시스템운영 &gt; 작업요청등록 을 통한 수정 요청
  - 시스템관리 &gt; 시스템운영 &gt; 작업요청관리 기능 추가 &gt; 감사원보고해제 -&gt; 처리기한수정 -&gt; 감사원보고</t>
    <phoneticPr fontId="13" type="noConversion"/>
  </si>
  <si>
    <t>· 도입되는 문서편집기 솔루션 제공 기능</t>
    <phoneticPr fontId="13" type="noConversion"/>
  </si>
  <si>
    <t>· 도입되는 PDF변환 솔루션 적용(공통-업체와협업)</t>
    <phoneticPr fontId="13" type="noConversion"/>
  </si>
  <si>
    <t>· 도입되는 개인정보검출 솔루션 적용(공통-업체와협업)</t>
    <phoneticPr fontId="13" type="noConversion"/>
  </si>
  <si>
    <t>· 도입되는 ECM 솔루션 적용(공통-업체와협업)</t>
    <phoneticPr fontId="13" type="noConversion"/>
  </si>
  <si>
    <t>· 감사인 = 회계법인
· 기관별 감사인 등록
  - 계약내용, 첨부서류 등록
· 감사인 등록 후 승인 요청 -&gt; 승인
  - 재선정 요청 시 제약사항 추가
· 신규기능</t>
    <phoneticPr fontId="13" type="noConversion"/>
  </si>
  <si>
    <t>· 감사자료 제출 게시판 기능으로 제공</t>
    <phoneticPr fontId="13" type="noConversion"/>
  </si>
  <si>
    <t>· 결산감사 대상 기관에게 자료요구 및 제출할 수 있는 기능을 제공한다.
· 감사인(회계법인)의 감사조서와 같이 감사인이 직접 제출 해야하는 자료의 경우는 공공감사 홈페이지를 통해 제출한다.</t>
    <phoneticPr fontId="13" type="noConversion"/>
  </si>
  <si>
    <t>· 결산업무 지원을 위한 업무연락방 게시판을 제공한다.
· (별도기능) 기관, 담당자 권한관리 기능
기관별로 검사담당자 지정 후 시스템 등록 및 업무 연락방(문자메시지전송 기능 포함) 기능 구현</t>
    <phoneticPr fontId="13" type="noConversion"/>
  </si>
  <si>
    <t>· 대행 및 위탁감사의 감사계획수립은 신규기능으로 제공
· 감사계획서 작성은 문서편집기 기능으로 제공</t>
    <phoneticPr fontId="13" type="noConversion"/>
  </si>
  <si>
    <t>· 감사결과 처리는 감사결과 상세항목 입력 기능 및 내부 결재기능으로 제공함
· 감사결과 보고서작성기능은 문서편집기 기능으로 제공
· 감사결과에 대한 결재는 온나라 연계가 아닌 내부결재 기능으로 제공</t>
    <phoneticPr fontId="13" type="noConversion"/>
  </si>
  <si>
    <t>· 감사결과를 온나라 연계를 통해 각 대행기관에게 통보하는 기능 제공
  *결재 및 통보는 대행감사의뢰계획 관리 화면에서 기능필요</t>
    <phoneticPr fontId="13" type="noConversion"/>
  </si>
  <si>
    <t>· 다른 감사 프로세스와 동일</t>
    <phoneticPr fontId="13" type="noConversion"/>
  </si>
  <si>
    <t>· 종합정보검색 &gt; 기관별감사실적
  - 계획, 실적, 감사일수, 연인원</t>
    <phoneticPr fontId="13" type="noConversion"/>
  </si>
  <si>
    <t>· 감사 교육 결과 관리</t>
    <phoneticPr fontId="13" type="noConversion"/>
  </si>
  <si>
    <t>· OASYS -&gt; 감사교육원 교육 수료 정보 연계
  - 감사교육원 교육 연계
  - 감사교육원 교육 수강생 연계</t>
    <phoneticPr fontId="13" type="noConversion"/>
  </si>
  <si>
    <t>· 감사교육원 홈페이지 링크 연결</t>
    <phoneticPr fontId="13" type="noConversion"/>
  </si>
  <si>
    <t>· 자체감사 &gt; 대장 및 통계 &gt; 감사통계 서식함.
  - 기관별 서식관리 가능</t>
    <phoneticPr fontId="13" type="noConversion"/>
  </si>
  <si>
    <t>· 자체감사 &gt; 대장 및 통계 &gt; 감사통계
  - 서식 기준으로 통계 자료 조회</t>
    <phoneticPr fontId="13" type="noConversion"/>
  </si>
  <si>
    <t>· 자체감사 &gt; 자체감사활동 &gt; 모범사례 전파실적</t>
    <phoneticPr fontId="13" type="noConversion"/>
  </si>
  <si>
    <t>· 자체감사 &gt; 총괄현황</t>
    <phoneticPr fontId="13" type="noConversion"/>
  </si>
  <si>
    <t>· 감사실무지식관리 기능 추가</t>
    <phoneticPr fontId="13" type="noConversion"/>
  </si>
  <si>
    <t>· 감사실무지식별 범령, 감사기법, 감사사례, 결정례 등 연결 기능 추가</t>
    <phoneticPr fontId="13" type="noConversion"/>
  </si>
  <si>
    <t>· 감사착안사항 관리 기능 추가</t>
    <phoneticPr fontId="13" type="noConversion"/>
  </si>
  <si>
    <t>· 감사 실무지식 유형 관리 기능 추가</t>
    <phoneticPr fontId="13" type="noConversion"/>
  </si>
  <si>
    <t>· 자주사용한 검색어 관리 기능 추가</t>
    <phoneticPr fontId="13" type="noConversion"/>
  </si>
  <si>
    <t>· 문서편집기 솔루션 업체와 협업</t>
    <phoneticPr fontId="13" type="noConversion"/>
  </si>
  <si>
    <t>· 검색엔진(챗봇기능포함) 솔루션 업체와 협업</t>
    <phoneticPr fontId="13" type="noConversion"/>
  </si>
  <si>
    <t>· 시스템운영 &gt; 기관별 운영관리 &gt; 기관별사용자관리</t>
    <phoneticPr fontId="13" type="noConversion"/>
  </si>
  <si>
    <t>· 시스템운영 &gt; 기관별 운영관리 &gt; 기관별 업무코드관리</t>
    <phoneticPr fontId="13" type="noConversion"/>
  </si>
  <si>
    <t>· 시스템운영 &gt; 정부조직 개편관리 &gt; 기관 폐지변경관리
- 기관이전에 따른 데이터 이관기능 개선</t>
    <phoneticPr fontId="13" type="noConversion"/>
  </si>
  <si>
    <t>· 공지사항 등록 시 공지 대상 지정 기능 추가
· 전체, 감사원, 자체감사기구 등 공지 대상 선택</t>
    <phoneticPr fontId="13" type="noConversion"/>
  </si>
  <si>
    <t>· 시스템운영 &gt; 기관별 운영관리 &gt; 시스템 이용현황 조회</t>
    <phoneticPr fontId="13" type="noConversion"/>
  </si>
  <si>
    <t>· 시스템관리 &gt; 시스템운영 &gt; 사용자관리
  - 등록요청, 해지요청 조회 및 승인 기능
  - 제출명부 접수, 반려 기능
  - 소속기관변경요청 조회 및 승인기능</t>
    <phoneticPr fontId="13" type="noConversion"/>
  </si>
  <si>
    <t>· 시스템관리 &gt; 시스템운영 &gt; 사용자관리</t>
    <phoneticPr fontId="13" type="noConversion"/>
  </si>
  <si>
    <t>· 시스템관리 &gt; 시스템운영 &gt; 공통코드관리</t>
    <phoneticPr fontId="13" type="noConversion"/>
  </si>
  <si>
    <t>· 시스템관리 &gt; 시스템운영 &gt; FAQ관리</t>
    <phoneticPr fontId="13" type="noConversion"/>
  </si>
  <si>
    <t>· 고객센터, 1:1문의</t>
    <phoneticPr fontId="13" type="noConversion"/>
  </si>
  <si>
    <t>· 시스템운영 &gt; 작업요청등록</t>
    <phoneticPr fontId="13" type="noConversion"/>
  </si>
  <si>
    <t>· 시스템관리 &gt; 설문조사 관리 &gt; 설문지관리
· 시스템관리 &gt; 설문조사관리 &gt; 설문진행</t>
    <phoneticPr fontId="13" type="noConversion"/>
  </si>
  <si>
    <t>· 시스템관리 &gt; 설문조사관리 &gt; 설문지관리
· 시스템관리 &gt; 자체감사계획 종합대책 &gt; 설문지관리</t>
    <phoneticPr fontId="13" type="noConversion"/>
  </si>
  <si>
    <t>· 시스템관리 &gt; 시스템관리 &gt; 시스템 이용현황 통계</t>
    <phoneticPr fontId="13" type="noConversion"/>
  </si>
  <si>
    <t>· 시스템관리 &gt; 시스템관리 &gt; 메뉴관리</t>
    <phoneticPr fontId="13" type="noConversion"/>
  </si>
  <si>
    <t>· 솔루션 업체와 협의</t>
    <phoneticPr fontId="13" type="noConversion"/>
  </si>
  <si>
    <t>· 멀티로그인</t>
    <phoneticPr fontId="13" type="noConversion"/>
  </si>
  <si>
    <t>· 연계 관련 표 참조</t>
    <phoneticPr fontId="13" type="noConversion"/>
  </si>
  <si>
    <t>· 공지 게시글 관리 시 공지기간 지정할 수 있도록 기능 추가</t>
    <phoneticPr fontId="13" type="noConversion"/>
  </si>
  <si>
    <t>· 감사원 내부검토중</t>
    <phoneticPr fontId="13" type="noConversion"/>
  </si>
  <si>
    <t>· 페이지별 조회수 통계 기능 추가(홈페이지)
· 페이지별 조회수 통계 데이터 연계 기능 추가</t>
    <phoneticPr fontId="13" type="noConversion"/>
  </si>
  <si>
    <t>· 외부연계 연계 Agent의 상태를 모니터링하는 기능을 제공(SFR-040-006)</t>
    <phoneticPr fontId="13" type="noConversion"/>
  </si>
  <si>
    <t>· 내부연계
  - 연계솔루션 (기존)</t>
    <phoneticPr fontId="13" type="noConversion"/>
  </si>
  <si>
    <t>· 운영기능 신규 추가</t>
    <phoneticPr fontId="13" type="noConversion"/>
  </si>
  <si>
    <t>· 운영기능 신규 추가
  - 연계솔루션</t>
    <phoneticPr fontId="13" type="noConversion"/>
  </si>
  <si>
    <t>· 법령정보센터 OPEN API 방식 착안 시, URL 링크 제공</t>
    <phoneticPr fontId="13" type="noConversion"/>
  </si>
  <si>
    <t>· 요구사항 삭제
  - 관련 회의록 확인</t>
    <phoneticPr fontId="13" type="noConversion"/>
  </si>
  <si>
    <t>· 공지성 게시글로 최상단에 위치할 수 있는 기능을 제공
· 기재부(알리오플러스) OPEN API 제공 예정
  - 공공기관별 전체 뉴스 연계 (구분자 없음, 감사관련특정불가)</t>
    <phoneticPr fontId="13" type="noConversion"/>
  </si>
  <si>
    <t>· 도입되는 솔루션의 기능에 따라 개발</t>
    <phoneticPr fontId="13" type="noConversion"/>
  </si>
  <si>
    <t>· 통합검색기능
· 검색엔진</t>
    <phoneticPr fontId="13" type="noConversion"/>
  </si>
  <si>
    <t>· 공공감사법 대상기관 조회
· 검색엔진</t>
    <phoneticPr fontId="13" type="noConversion"/>
  </si>
  <si>
    <t>· 공개문 연계 시 항목정보 추가(감사사항, 처분요구, 관련기관, 처분유형)
· 검색엔진</t>
    <phoneticPr fontId="13" type="noConversion"/>
  </si>
  <si>
    <t>· 검색엔진</t>
    <phoneticPr fontId="13" type="noConversion"/>
  </si>
  <si>
    <t>· 메뉴구조도 및 컨텐츠에 대한 결정은 주관기관 공공감사정책과 담당자가 진행
· 신규 컨텐츠만 국제협력담당관실 담당자가 제공</t>
    <phoneticPr fontId="13" type="noConversion"/>
  </si>
  <si>
    <t>· 검색엔진 솔루션 업체와 협의 및 협업</t>
    <phoneticPr fontId="13" type="noConversion"/>
  </si>
  <si>
    <t>· 감사처분요구 등록 시 키워드 등록
· 감사처분요구서 파일에서 법령명 추출
· 검색엔진 솔루션 업체와 협의 및 협업</t>
    <phoneticPr fontId="13" type="noConversion"/>
  </si>
  <si>
    <t>· 사용자별로 감사 실무지식 유형을 관심분야로 설정 기능 추가
· 관심분야에 신규 실무지식 등록 시 알림 발송 기능 추가
· 검색엔진 솔루션 업체와 협의 및 협업</t>
    <phoneticPr fontId="13" type="noConversion"/>
  </si>
  <si>
    <t>· 감사실무지식은 전체 기관에서 조회 가능
· 스트리밍으로 열람하도록 기능 추가
· 스트리밍 솔루션 업체와 협의 및 협업</t>
    <phoneticPr fontId="13" type="noConversion"/>
  </si>
  <si>
    <t>· 스트리밍 솔루션 업체와 협의 및 협업</t>
    <phoneticPr fontId="13" type="noConversion"/>
  </si>
  <si>
    <t>· 회의에 의한 잠정보류
  - 관련 회의록</t>
    <phoneticPr fontId="13" type="noConversion"/>
  </si>
  <si>
    <t>· OpenAPI를 행공센으로 연계 함</t>
    <phoneticPr fontId="13" type="noConversion"/>
  </si>
  <si>
    <t>· 시스템운영 &gt; 기관별 운영관리 &gt; 기관별 업무코드관리
· 시스템관리 &gt; 시스템운영 &gt; 공통코드관리</t>
    <phoneticPr fontId="13" type="noConversion"/>
  </si>
  <si>
    <t xml:space="preserve">
· 기관현황 &gt; 자체감사기구 &gt; 자체감사기구 현황</t>
  </si>
  <si>
    <t>· 기관코드 연계 (OASYS-&gt;PAIS)
· 기관현황 &gt; 자체감사기구 &gt; 자체감사기구현황
· 기관현황 &gt; 기관현황 &gt; 기관일반현황</t>
    <phoneticPr fontId="13" type="noConversion"/>
  </si>
  <si>
    <t>· 기관현황 &gt; 자체감사기구 &gt; 자체감사기구현황
· 기관현황 &gt; 기관현황 &gt; 기관일반현황</t>
    <phoneticPr fontId="13" type="noConversion"/>
  </si>
  <si>
    <t>· 미이행 인수요청 메뉴삭제
· 시스템운영 &gt; 정부조직개편관리 &gt; 기관 폐지,변경 관리
  - 기관이전 및 데이터 이관 처리 기능 제공</t>
    <phoneticPr fontId="13" type="noConversion"/>
  </si>
  <si>
    <t>· 전자감사관리시스템 &gt; 감사절차 클릭클릭 과 동일하게 구성
· 메뉴별 매뉴얼 등록 관리 기능, 매뉴얼 관리 기능 추가
· 메뉴별 법령 연결 기능 추가
  - (커뮤니티 &gt; 지식고유 &gt; 감사관련 법령,지침)
  - 업무절차별 온라인 매뉴얼 기능을 제공</t>
    <phoneticPr fontId="13" type="noConversion"/>
  </si>
  <si>
    <t>· 업무절차관리
· 업무절차별 법령 관리
· 업무절차별 메뉴 연결
· 메뉴별 메뉴얼관리</t>
    <phoneticPr fontId="13" type="noConversion"/>
  </si>
  <si>
    <t>· 업무절차별 온라인 매뉴얼 기능을 제공</t>
    <phoneticPr fontId="13" type="noConversion"/>
  </si>
  <si>
    <t>· 국가법령정보센터 법령 관리 기능 추가
· 외부연계(www.law.go.kr)
· 법령정보센터의 API(링크)를 이용하여 국가법령 제공
· 오아시스 &gt; 법령정보시스템 간소화
· VIEW 방안을 마련해야 함
· 자체감사 업무</t>
    <phoneticPr fontId="13" type="noConversion"/>
  </si>
  <si>
    <t>· 기타 법령 등록,관리 기능 제공
· 기관별 규정 등록, 관리 기능 제공
· 법령정보센터의 API(링크)를 이용하여 국가법령 제공
· 오아시스 &gt; 법령정보시스템 간소화
· VIEW 방안을 마련해야 함
· 자체감사 업무</t>
    <phoneticPr fontId="13" type="noConversion"/>
  </si>
  <si>
    <t>· 자체감사 &gt; 감사자료송수신 &gt; 수신그룹 설정
· 감사원 전용 &gt; 감사자료 제출요구 &gt; 수신그룹 설정
  - 기관별 수신그룹 설정 기능(사용자별 아님)</t>
    <phoneticPr fontId="13" type="noConversion"/>
  </si>
  <si>
    <t>· 감사원전용 &gt; 감사자료 제출요구 &gt; 자료요구 사서함</t>
    <phoneticPr fontId="13" type="noConversion"/>
  </si>
  <si>
    <t>· 감사원감사 &gt; 감사자료 제출
· 자체감사 &gt;감사자료송수신 &gt; 감사자료제출</t>
    <phoneticPr fontId="13" type="noConversion"/>
  </si>
  <si>
    <t>· 자체감사 &gt; 연간감사계획 &gt; 초안,협의조정안,확정안
  - 이력관리 추가</t>
    <phoneticPr fontId="13" type="noConversion"/>
  </si>
  <si>
    <t>· 자체감사 &gt; 연간감사계획 &gt; 초안,협의조정안,확정안
  - 기존 조회조건에 분야조건 추가</t>
    <phoneticPr fontId="13" type="noConversion"/>
  </si>
  <si>
    <t>· 연간감사계획 초안에서도 중복 체크 기능 추가
· 2차분류, 3차분류는 감사원 분류를 기본으로 각 기관마다 설정 가능하도록 함
· 감사기관, 수감기관, 감사분류1차분류를 기준으로 중복감사 여부 확인하도록 함
· 자체검사 &gt; 연간감사계획 &gt; 협의 조정안
  - 중복이 발생한 연간감사계획 조회 가능
· 감사원 전용 &gt; 연간감사계획관리 &gt; 연간감사계획분석
  - 연간감사계획 협의결과 조정 현황 통계 추가</t>
    <phoneticPr fontId="13" type="noConversion"/>
  </si>
  <si>
    <t>· 감사원 전용 &gt; 연간감사계획관리 &gt; 연간감사계획분석)
  - 연간감사계획 협의결과 조정 현황 통계</t>
    <phoneticPr fontId="13" type="noConversion"/>
  </si>
  <si>
    <t>· 한전KDN일정- 3~4월 명세 제공, 5~6월 테스트 제공, 12월 실연동
· OPEN API
 신규메뉴생성</t>
    <phoneticPr fontId="13" type="noConversion"/>
  </si>
  <si>
    <t>· 자체감사 &gt; 자체감사활동 &gt; 감사계획실시결과
· 감사원 전용 &gt; 실지감사계ㄷ &gt; 실지감사계획
  - 감사계획 입력 시 연간감사 선택 후 진행</t>
    <phoneticPr fontId="13" type="noConversion"/>
  </si>
  <si>
    <t>· 자체감사 &gt; 자체감사활동 &gt; 감사계획실시결과
· 감사원 전용 &gt; 실지감사계ㄷ &gt; 실지감사계획
  - 연간감사계획 선택 없이 감사계획 입력 가능
  - 기존 '신규등록' 기능</t>
    <phoneticPr fontId="13" type="noConversion"/>
  </si>
  <si>
    <t>· 자체감사 &gt; 자체감사활동 &gt; 감사계획,실시,결과 에서 감사계획 입력 시 중복감사 확인 버튼 있음
  - 협의/조정 가능</t>
    <phoneticPr fontId="13" type="noConversion"/>
  </si>
  <si>
    <t>· 자체감사 &gt; 자체감사활동 &gt; 감사계획실시결과</t>
    <phoneticPr fontId="13" type="noConversion"/>
  </si>
  <si>
    <t>· 자체감사 &gt; 자체감사활동 &gt; 감사계획실시결과 - 감사계획입력
  - 감사반원 등록 팝업 차출자 추가 기능</t>
    <phoneticPr fontId="13" type="noConversion"/>
  </si>
  <si>
    <t>· 기관별 서식관리 기능 추가</t>
    <phoneticPr fontId="13" type="noConversion"/>
  </si>
  <si>
    <t>· 자체감사 &gt; 자체감사활동 &gt; 감사계획실시결과
  - 수감기관 영역
  - 수감기관 별 일반현황 조회 기능 제공
· 기관현황 &gt; 기관현황 &gt; 기관일반현황
  - 기준년도별 기관정보, 기관장, 기관기본현황 조회
  - 알리오 연계 시 해당 기능 제공 가능</t>
    <phoneticPr fontId="13" type="noConversion"/>
  </si>
  <si>
    <t>· 자체감사 &gt; 자체감사활동 &gt; 감사계획실시결과
  - 증거서류 업로드 항목 추가
  - 증거서류 서식 업로드 관리 팝업 추가</t>
    <phoneticPr fontId="13" type="noConversion"/>
  </si>
  <si>
    <t>· 자체감사 &gt; 자체감사활동 &gt; 감사계획실시결과
  - 감사결과 상세 정보 &gt; 결과보고서 및 관련자료 업로드 기능</t>
    <phoneticPr fontId="13" type="noConversion"/>
  </si>
  <si>
    <t>· 내부시스템=신규연계
· 외부시스템=OPEN API</t>
    <phoneticPr fontId="13" type="noConversion"/>
  </si>
  <si>
    <t>· 자체감사 &gt; 자체감사활동 &gt; 감사계획실시결과
  - 지적사항등 목록 에서 지정사항 등록
    (지적사항,지적사항공개문,처분요구사항)
  - 지적사항상세 팝업 - 범죄통보 전달
· 자체감사 &gt; 자체감사활동 &gt; 감사계획실시결과
  - 지적사항등 목록 에서 적극면책 입력 가능
  - 현재 첨부파일 기능 있음
  - 제목, 지적내용, 신청취지, 공개여부, 검토내용, 첨부파일 입력</t>
    <phoneticPr fontId="13" type="noConversion"/>
  </si>
  <si>
    <t>· 자체감사 &gt; 자체감사활동 &gt; 감사계획실시결과
  - 지적사항등 목록 에서 지정사항 등록
  - 지적사항 상세 팝업 - 처분요구사항 목록 (처분 일괄등록)</t>
    <phoneticPr fontId="13" type="noConversion"/>
  </si>
  <si>
    <t>· 트리거, 프로시져 걷어내기
· 감사결과가 자체감사심사 실적으로 자동 반영될 수 있도록 기능을 제공
· 종합정보검색 &gt; 기관별감사실적
  - 계획, 실적, 감사일수, 연인원</t>
    <phoneticPr fontId="13" type="noConversion"/>
  </si>
  <si>
    <t>· 자체감사 &gt; 자체감사활동 &gt; 감사계획실시결과
  - 처분요구 관리(지적사항, 현지조치, 모범사례, 적극면책)</t>
    <phoneticPr fontId="13" type="noConversion"/>
  </si>
  <si>
    <t>· 자체감사 &gt; 자체감사활동 &gt; 조치이행관리
  - '처리기한' 조회조건 추가</t>
    <phoneticPr fontId="13" type="noConversion"/>
  </si>
  <si>
    <t>· 자체감사 &gt; 자체감사활동 &gt; 조치이행관리
  - 추가정보관리(팝업)
  - 처분요구사항 변경, 추가 가능하도록 구성</t>
    <phoneticPr fontId="13" type="noConversion"/>
  </si>
  <si>
    <t>· 자체감사 &gt; 자체감사활동 &gt; 조치이행관리
  - 재심의 건 조회 기능 추가
  - 처분요구 수정 기능 추가 (감사원보고해제, 감사원보고)</t>
    <phoneticPr fontId="13" type="noConversion"/>
  </si>
  <si>
    <t>· 감사결과 처분 등록, 수정 시 범죄사실 통보 연결 기능 추가 필요
· 범죄통보에 대해 수사개시, 수사상황, 처분결과등 추가 이력 등록 기능 필요
  - 상세항목 및 절차정의 필요
· 소송이 진행되는 경우, 소송여부, 사건번호는 범죄통보의 관련자 상세정보-고발여부및소송진행 영역에 입력 및 개선
· 감사원통보 &gt; 범죄통보
  - 범죄사실 통보 시 현황및 관련자정보 등록함.
  - 개인정보조회 이력 기능 있음</t>
    <phoneticPr fontId="13" type="noConversion"/>
  </si>
  <si>
    <t>· 감사원통보 &gt; 계약,재산교환현황통보</t>
    <phoneticPr fontId="13" type="noConversion"/>
  </si>
  <si>
    <t>· 범죄통보, 징계통보, 손망실통보, 계약재산교환 통보는 감사원보고 기능이 있음</t>
    <phoneticPr fontId="13" type="noConversion"/>
  </si>
  <si>
    <t>· 적극행정에 대한 면책 신청 :이미 내려진 처분요구에 대해 수감기관이 직접 적극행정면책을 신청하는 것
(수감관리 - 외부감사 처분요구 에서 신청)
· 접수, 처리, 결과의 관리 : 적극행정지원 - 적극행정면책 에서 자체감사기구가 조회하여 업무 처리</t>
    <phoneticPr fontId="13" type="noConversion"/>
  </si>
  <si>
    <t>· 지식검색에서 검색되는 지식분류에 적극행정지원(사전컨설팅, 적극행정면책) 항목을 추가
  - 사전컨설팅, 적극행정면책 결과 처리시 공개여부를 선택하는 기능 제공</t>
    <phoneticPr fontId="13" type="noConversion"/>
  </si>
  <si>
    <t>· 적극행정면책, 사전컨설팅 연계 추가</t>
    <phoneticPr fontId="13" type="noConversion"/>
  </si>
  <si>
    <t>· 조사종류 : 조사위탁, 직접조사
  - 조사위탁=이첩민원
· 자체감사 &gt; 민원조사과리 &gt; 민원조사 실시,결과</t>
    <phoneticPr fontId="13" type="noConversion"/>
  </si>
  <si>
    <t>· 일상감사와 일상감사업무 메뉴를 통합
  (일상감사업무설정은 일상감사부서에서만 사용하는 메뉴로 일상감사 내에 위치하는 것이 좋은 것 같다는 의견)
· 자체감사 &gt; 일상감사 &gt; 일상감사 업무설정</t>
    <phoneticPr fontId="13" type="noConversion"/>
  </si>
  <si>
    <t>· 알림별 문자서식, 이메일 서식 관리 기능 추가
· 알림별 설정가능한 항목은 2개로 제한(제목, 내용)</t>
    <phoneticPr fontId="13" type="noConversion"/>
  </si>
  <si>
    <t>· 알림별 대상유형, 통보수단 설정 기능 추가</t>
    <phoneticPr fontId="13" type="noConversion"/>
  </si>
  <si>
    <t>· 종합정보검색 &gt; 기관별 감사실적</t>
    <phoneticPr fontId="13" type="noConversion"/>
  </si>
  <si>
    <t>· 지식분류체계 계층구조 형태로 관리할 수 있는 기능 제공
· 지식분류체계에 따라 지식 등록 기능 제공
· 검색엔진 솔루션 업체와 협의 및 협업</t>
    <phoneticPr fontId="13" type="noConversion"/>
  </si>
  <si>
    <t>· 콘테스트 계획 관리
· 콘테스트 계획 공지-&gt;온나라연계</t>
    <phoneticPr fontId="13" type="noConversion"/>
  </si>
  <si>
    <t>· 콘테스트 계획 공지 -&gt; 기관별 수신여부 확인
· 콘테스트 계획별 기관의 자료 제출 기능 제공
  - 콘테스트 응모 메뉴 추가
· 제출 자료 미리보기는 솔루션에서 제공</t>
    <phoneticPr fontId="13" type="noConversion"/>
  </si>
  <si>
    <t>· 콘테스트 제출 현황조회
· 콘테스트 제출 자료에 대한 심사 기능</t>
    <phoneticPr fontId="13" type="noConversion"/>
  </si>
  <si>
    <t>· 콘테스트 제출 자료에 대한 심사 기능에 평가항목 추가</t>
    <phoneticPr fontId="13" type="noConversion"/>
  </si>
  <si>
    <t>· 자체감사 &gt; 비대면감사 등 혁신사례 &gt; 감사활동 콘테스트
  - 평가에 따라 노출할 수 있는 기능 제공</t>
    <phoneticPr fontId="13" type="noConversion"/>
  </si>
  <si>
    <t>· 자체감사 &gt; 비대면감사 등 혁신사례 &gt; 감사활동 혁신사례</t>
    <phoneticPr fontId="13" type="noConversion"/>
  </si>
  <si>
    <t>· 심사평가자 이력조회 기능 추가
· 실지와 서면 심사평가자 기능통합
· 특정년도 평가자 조회 및 가져오기 기능
· 화면 기획 필요
· 감사원전용 &gt; 자체감사활동 실지심사 &gt; 심사평가자 관리
· 감사원전용 &gt; 자체감사활동 서면심사 &gt; 서면심사평가자 관리</t>
    <phoneticPr fontId="13" type="noConversion"/>
  </si>
  <si>
    <t>· 제출요구 화면에선 평가자 조별로 해당 건만 보도록 개선
· 감사원전용 &gt; 자체감사활동 실지심사 &gt; 심사자료 제출요구
· 감사원전용 &gt; 자체감사활동 서면심사 &gt; 서면심사자료 제출요구
· 감사원전용 &gt; 자체감사활동 실지심사 &gt; 심사평가업무
· 감사원전용 &gt; 자체감사활동 서면심사 &gt; 서면심사평가업무</t>
    <phoneticPr fontId="13" type="noConversion"/>
  </si>
  <si>
    <t>· 감사원전용 &gt; 자체감사활동 실지심사 &gt; 심사평가업무
· 감사원전용 &gt; 자체감사활동 서면심사 &gt; 서면심사평가업무</t>
    <phoneticPr fontId="13" type="noConversion"/>
  </si>
  <si>
    <t>· 통보전체 전체항목에 대한 일괄업로드 필요</t>
    <phoneticPr fontId="13" type="noConversion"/>
  </si>
  <si>
    <t>· 신청, 접수, 승인, 반려 등 처리 기능 추가
· 자체감사 &gt; 적극행정지원 &gt; 사전컨설팅
· 기존기능 전환</t>
    <phoneticPr fontId="13" type="noConversion"/>
  </si>
  <si>
    <t>· 첨부파일을 제외한 나머지 정보 일괄업로드
· 목록에서 일괄업로드</t>
    <phoneticPr fontId="13" type="noConversion"/>
  </si>
  <si>
    <t>· 대상기관 공통조회 팝업 활용한 전체 기관(공감법 대상기관 680여개)의 감사원 소관부서 대표번호 정보 추가 제공
· 커뮤니티 &gt; 정보공유 &gt; 감사담당자 연락망 에서 기존 기능 유지하나, 사진보여주기 기능 제외 처리
· 메인화면에 연락망을 확인할 수 있는 기능
· 산하기관에 대한 연락망</t>
    <phoneticPr fontId="13" type="noConversion"/>
  </si>
  <si>
    <t>· 입력이 있는 업무는 모두 일괄업로드 넣고 싶음
· 민원조사 실시·결과 가 입력이 많음</t>
    <phoneticPr fontId="13" type="noConversion"/>
  </si>
  <si>
    <t>· 공통기능으로 솔루션 업체와 협업
· 솔루션 보안정책을 따름</t>
    <phoneticPr fontId="13" type="noConversion"/>
  </si>
  <si>
    <t>· 자체감사기구 내의 결재
· 결재선은 명부 기준
· 오아시스 내부결재 기능 참고</t>
    <phoneticPr fontId="13" type="noConversion"/>
  </si>
  <si>
    <t>· 감사원 감사 신규 연계
· 감사업무처리 변동
  - 감사계획등록(수감기관지정)
  - 처분요구등록
· 감사원에서 실시한 감사업무처리(감사계획, 실시, 처리, 시행, 이행, 재심의) 현황을 조회하는 기능을 제공
· 감사업무처리 변동에 따라 감사 대상기관의 담당자에게 알림 기능을 제공</t>
    <phoneticPr fontId="13" type="noConversion"/>
  </si>
  <si>
    <t>· 담당자는 이행담당자
· 기존 보완요구 상태가 자료보완요구
· 감사원감사 &gt; 이행상황 &gt; 이행상황회보</t>
    <phoneticPr fontId="13" type="noConversion"/>
  </si>
  <si>
    <t>· 이행상황회보는 기존기능
· 감사대상기관의 재심의 신청내역의 입력은 신청정보 입력, 확정은 온나라 기안 기능 제공
· 감사원감사 &gt; 이행상황 &gt; 이행상황회보</t>
    <phoneticPr fontId="13" type="noConversion"/>
  </si>
  <si>
    <t>· 이행상황회보는 기존기능
· 감사원 내부 시스템의 재심의 접수내역은 감사원으로 부터 연계 수신
· 감사원감사 &gt; 이행상황 &gt; 이행상황회보</t>
    <phoneticPr fontId="13" type="noConversion"/>
  </si>
  <si>
    <t>· 감사원 전용 &gt; 자체감사활동 실지심사 &gt; 심사업무 관리
· 감사원 전용 &gt; 자체감사활동 서면심사 &gt; 서면심사업무 관리</t>
    <phoneticPr fontId="13" type="noConversion"/>
  </si>
  <si>
    <t>· 감사원전용 &gt; 자체감사활동 실지심사 &gt; 심사평가자 관리
· 감사원전용 &gt; 자체감사활동 서면심사 &gt; 서면심사평가자 관리</t>
    <phoneticPr fontId="13" type="noConversion"/>
  </si>
  <si>
    <t>· 감사원전용 &gt; 자체감사활동 실지심사 &gt; 심사업무관리
· 감사원전용 &gt; 자체감사활동 서면심사 &gt; 서면심사업무관리
· 감사원전용 &gt; 자체감사활동 실지심사 &gt; 심사자료 제출요구
· 감사원전용 &gt; 자체감사활동 서면심사 &gt; 서면심사자료 제출요구</t>
    <phoneticPr fontId="13" type="noConversion"/>
  </si>
  <si>
    <t>· 감사원전용 &gt; 자체감사활동 실지심사 &gt; 심사평가자료조회
· 감사원전용 &gt; 자체감사활동 서면심사 &gt; 서면심사평가자료조회</t>
    <phoneticPr fontId="13" type="noConversion"/>
  </si>
  <si>
    <t>· 감사원 전용 &gt; 자체감사활동 실지심사 &gt; 심사평가 총괄
· 감사원 전용 &gt; 자체감사활동 서면심사 &gt; 서면심사평가 총괄</t>
    <phoneticPr fontId="13" type="noConversion"/>
  </si>
  <si>
    <t>· 감사원감사 &gt; 자체감사활동 실지심사 &gt; 심사계획/결과조회
· 감사원감사 &gt; 자체감사활동 서면심사 &gt; 서면심사계획/결과조회</t>
    <phoneticPr fontId="13" type="noConversion"/>
  </si>
  <si>
    <t>· 감사원전용 &gt; 자체감사활동 실지심사 &gt; 심사업무관리
· 감사원전용 &gt; 자체감사활동 서면심사 &gt; 서면심사업무관리</t>
    <phoneticPr fontId="13" type="noConversion"/>
  </si>
  <si>
    <t>· 감사원 전용 &gt; 통계 및 현황 &gt; 심사자료통계
  - 통계분류 추가
  - 지표별 점수 추이</t>
    <phoneticPr fontId="13" type="noConversion"/>
  </si>
  <si>
    <t>· 감사교육관리 기능 구현
  - 감사 교육 계획 관리
  - 감사 교육 차수 관리
  - 감사 교육 수강생 관리</t>
    <phoneticPr fontId="13" type="noConversion"/>
  </si>
  <si>
    <t>· 기관현황 &gt; 기관현황 &gt; 기관일반현황</t>
    <phoneticPr fontId="13" type="noConversion"/>
  </si>
  <si>
    <t>· 기관현황 &gt; 자체감사기구 &gt; 자체감사기구 현황</t>
    <phoneticPr fontId="13" type="noConversion"/>
  </si>
  <si>
    <t>· 감사원업무담당자는 감사원에서 기관에 문의 시 연락처로 사용
· 시스템운영자는 기관별 무조건 1명만 가능
· 자체감사기구 외 사용자는 결산 담당자로 해당 사용자는 감사결과 조회 권한을 주지 않도록 하는 게 필요함
· 감사인명부에서 신규명부제출 시 공문 처리는 제외하는 것으로 함
· 각 시스템 운영자가 감사인명부 및 사용자 신청(신규명부 제출)을 할 수 있도록 권한을 부여 함
· 인사랑, 이사람, 나이스 인사정보 연계는 인사정보 현행화를 목적으로 함
· 비대상기관 사용자(명부-&gt;사용자승인), 대상기관 사용자 등록과 동일하게 구현
· 기관의 실제 감사원 업무담당자 식별이 어려움
  - 업무알림 수신자
· 기관의 시스템운영자가 권한관리 가능하도록 했으면 함
· 인사정보연계 인원은 공문 없음
· 인사정보연계 이외 인원도 공문 없음</t>
    <phoneticPr fontId="13" type="noConversion"/>
  </si>
  <si>
    <t>· S: 시스템운영자
· B : 감사원담당자
· S 나 B 중 한명은 무조건 하나있어야 함
· 감사원담당자, 결산담당자 등의 지정은 감사담당자명부 관리에서 지정 기능 추가
  - 감사원담당자는 공공감사정책과에서 식별을 위해 필요
· 권한의 경우, 기본 롤권한(시스템담당자, 일반담당자), 추가 롤권한 추가 기능 제공
 신규메뉴생성</t>
    <phoneticPr fontId="13" type="noConversion"/>
  </si>
  <si>
    <t>· 시스템 이용기관 내 특정 인원에 대하여 그룹을 설정하는 기능을 제공 함
  - 기관현황 &gt; 감사그룹설정 기능에서 감사그룹을 설정하면 감사사항을 공유 함
  - 시스템 운영자는 감사그룹과 상관없이 모두 공유할 수 있어야 함
  - 자체감사결과에서 결과보고서 입력 시 공유하기 기능
  - 자료제출요구 &gt; 수신그룹에서 수신그룹 삭제 시 공백이 나타나는 문제 해결</t>
    <phoneticPr fontId="13" type="noConversion"/>
  </si>
  <si>
    <t>· 업무 절차
  1. 자료보유 기관에서 공유기관 설정
  2. 공유기관에서는 공유대상정보범위 내에 있는 정보의 목록을 확인
  3. 공유기관에서는 공유대상정보범위 내에서 보고싶은 정보를 선택하여 공유요청
  4. 자료보유 기관에서는 공유기관에서 요청한 건들을 공유승인 처리
  5. 공유기관에서는 공유승인 된 정보를 확인
· 공유대상정보범위 설정
  - 기존 적극행정, 사전컨설팅 (타 기능)
  - 신규 연간감사계획, 자체감사, 일상감사
  - 조회기능만 제공
· 자체감사 &gt; 자체감사활동 &gt; 감사계획.실시.결과
  - 수감기관 &gt; "계획공유설정" 버튼
  - 감사계획 기관 공유 설정 가능</t>
    <phoneticPr fontId="13" type="noConversion"/>
  </si>
  <si>
    <t>· 감사원감사 &gt; 감사자료 제출
· 자체감사 &gt;감사자료송수신 &gt; 감사자료제출
· 자료제출에 대한 마감기능(+제출기한) 필요
  - 제외 시, 메인화면 감사자료 미제출 통계가 잡히지 않도록 기능 구현</t>
    <phoneticPr fontId="13" type="noConversion"/>
  </si>
  <si>
    <t>· 공통기능
· 요청자 : 자료요구자
· 제출담당자 : 자료제출기관의 시스템운영관리자 권한인 사용자에게 알림발송
· 문자 메시지 및 로그인 시 알림 메시지 제공
· 추가로 메일 발송 선택 기능 제공
· 자료요구 제출 시 A, B, C자료 제출 시 A가 전송완료, B가 실패일 경우, A, B, C 모두 전송완료로 나오는 통계적 문제 해결</t>
    <phoneticPr fontId="13" type="noConversion"/>
  </si>
  <si>
    <t>· 감사계획 생성 시 연간감사계획 선택 후 생성함
· 감사계획 상세에서 연관된 연간감사계획 조회 기능 추가필요. 현재 조회 안됨
· 자체감사 &gt; 자체감사활동 &gt; 감사계획,실시,결과
  - 처분 입력 가능
· 현행유지. But 삭제에 대한 시스템적 정상화 필요</t>
    <phoneticPr fontId="13" type="noConversion"/>
  </si>
  <si>
    <t>· 분석결과는 자체감사기구 담당자에게 알림 발송(문자 로그인 시 알림 기본, 메일 옵션)
· 자체검사 &gt; 연간감사계획 &gt; 협의 조정안
  - 중복이 발생한 연간감사계획 조회가 가능하고 협의결과 입력도 가능
· 연간감사계획 초안 작성 시 현재 대분류, 중분류 입력 시 같은 대분류라도 하나는 대분류만, 하나는 대분류, 중분류가 입력된 경우, 중복감사로 분석되지 않음
  - 앞으로는 감사분야를 대분류만 가져갈 예정임
  - 기존 연간감사, 실지감사 분야항목은 살리고, TO-BE에서는 대분류만 가져갈수 있도록 함
  - 대분류 중 기타는 상세내용을 반드시 입력하도록 함
  - 기타는 중복감사로 분석되면 안되나 상세내용이 일치하는 경우는 중복감사로 체크하는 기능도 있으면 좋을 것 같음
  - 종합감사의 경우, 분야입력을 안해도 됨. 분야가 입력되지 않을 경우, 전체 분야로 간주하여 기간, 기관이 일치하면, 중복감사로 체크되어야 함
  - 감사일반사항에 분야를 선택하도록 하고, 수감기관 선택 시 디폴트로 선택되도록 함
  - 기존 복무감사는 중복체크를 하지 않고 있음
  - 수감기관 100개까지만 입력제한 의 경우, 기존 시스템문제로 제한한 경우라 제한을 풀어야 함
  - 감사분야 연간, 수시 변경은 항상 가능하도록 함
  - 기존의 연간감사의 경우, 연간감사연계하여 실지감사를 생성 후 실지감사를 삭제하고, 다시 같은 연간감사를 선택하여 실지감사를 앞으로는 연간감사와 실지감사를 1:N으로 관리하도록 함(결정)
  - 공휴일 관리를 통해 근무일수 기준으로 참여일수를 계산할 수 있도록 함. 공유일관리가 필요함. 기관별 공휴일 관리까지는 필요없고, 각 감사참여일자는 수정할 수 있도록 함(현행)</t>
    <phoneticPr fontId="13" type="noConversion"/>
  </si>
  <si>
    <t>· 감사원 전용 &gt; 소관기관 연간감사계획 기능을 참고하여 자체감사기구에서도 해당 기능을 사용할 수 있도록 신규 구현
  - 주무기관별 소관기관 연간감사계획 조회 메뉴 추가 (비공개는 제외)</t>
    <phoneticPr fontId="13" type="noConversion"/>
  </si>
  <si>
    <t>· 수감기관의 세부정보까지 입력</t>
    <phoneticPr fontId="13" type="noConversion"/>
  </si>
  <si>
    <t>· 비공개 자료에 대한 지식 검색 조회 제한
· 입력지연여부 조회조건 추가
· 수시구분, 공개여부 조회 조건 추가
· 감사원전용 &gt; 실지감사계획 &gt; 실지감사계획
  - 비공개여부 및 비공개 사유 조회
· 자체감사 &gt; 자체감사활동 &gt; 감사계획실시결과
  - 공개여부 수정
· 입력하는 날짜가 감사실시 당일까지 입력하면, 준수. 단, 중복감사 확인은 문제가 생길 수 있음
  - 수시감사계획 및 비공개 감사의 타당성 등을 모니터링하는 기능은 목록에 표시됨 (시스템관리 &gt; 감사계획관리 기능 살려. 참고하기)
  - 조정은 해당 건에서 변경가능 (기관에서 조정)
  - 타당성 검토(비공개 사유), (초안입력할때는 확인하는 전화를 하기로 함)</t>
    <phoneticPr fontId="13" type="noConversion"/>
  </si>
  <si>
    <t>· 실지감사 일괄업로드: 수감기관의 세부정보까지 입력
  - 유지보수팀에서 올려주는 양식 참고</t>
    <phoneticPr fontId="13" type="noConversion"/>
  </si>
  <si>
    <t>· 자체감사 &gt; 자체감사활동 &gt; 감사계획실시결과
· 수감기관에 대한 정보를 조회하는 기능을 제공하여야 함. 수감기관의 감사결과 사후관리 현황 및 정보를 조회하는 기능을 제공하여야 함. 수감기관관리 화면에서 보여주는 형태이나 감사실시결과가 아니라 해당 기관의 감사받은 내역을 보여줌(외부감사수감관리내역)</t>
    <phoneticPr fontId="13" type="noConversion"/>
  </si>
  <si>
    <t>· 자체감사 &gt; 자체감사활동 &gt; 감사계획실시결과
  - 증거서류 업로드 항목 추가
  - 증거서류 서식 업로드 관리 팝업 추가
· 증거서류 서식관리 기능 추가
  - 기관에서도 서식관리 할 수 있도록 구현
  - 기본 증거서류 분류나 서식 (처분요구). 자체감사통합메뉴얼 증거· · 서류 양식 참고
  - 전자감사시스템 내 서식관리 기능 참고
  - 감사실시가 있어야 할 것으로 판단 (옵션기능)</t>
    <phoneticPr fontId="13" type="noConversion"/>
  </si>
  <si>
    <t>· 편집기능은 솔루션이 제공하는 범위내에서 구현가능
· 자체감사 &gt; 자체감사활동 &gt; 감사계획실시결과
· 증거서류 서식관리 기능 추가
  - 웹한글기안기 솔루션 제공기능에 따라 판단 필요. 글틀속성</t>
    <phoneticPr fontId="13" type="noConversion"/>
  </si>
  <si>
    <t>· 자체감사 &gt; 자체감사활동 &gt; 감사계획실시결과
  - 수감기관관리
  - 수감기관별...
  - 소속기관, 부서, 직위/직급, 성명, 생년월일, 통보일, 종료일
· 감사실시에 대한 조사개시통보가 필요함. 감사사항별로 조사개시통보내역을 입력할 수 있도록 함(공감법 24조) 종료통보도 할 수 있도록 함</t>
    <phoneticPr fontId="13" type="noConversion"/>
  </si>
  <si>
    <t>· OpenAPI
· 감사결과처리 시 감사결과보고서에 보고서작성자를 현재는 감사반원이나 앞으로는감사명부에서 선택할 수 있도록 함
· 감사반원이 신규로 영입된 경우, 처분없이 감사종료 체크박스는 바깥으로 위치(사용성 고도화), 결과보고서 수정 버튼은 결과보고서입력 버튼으로 명칭변경</t>
    <phoneticPr fontId="13" type="noConversion"/>
  </si>
  <si>
    <t>· 지적사항 공개문은 지적사항 관련자료(공개문)의 요약내용으로 삭제, 공개문 파일업로드는 유지함.
· 유형별 처분요구 사항에 대한 공개 여부(비공개 사유 관리 포함)를 선택하고 공개문을 작성하는 기능을 제공
· 자체감사 &gt; 자체감사활동 &gt; 감사계획실시결과
· 공개문 작성은 기능 제외하기로 함
· 공개, 비공개는 PASA이외에 지식검색에서도 반영
· 해당 건에서의 처분요구는 지적사항 임
  - 원래 있는 기능임</t>
    <phoneticPr fontId="13" type="noConversion"/>
  </si>
  <si>
    <t>· 자체감사 &gt; 자체감사활동 &gt; 감사계획실시결과
· 결과는 신분상 처분요구만 업로드</t>
    <phoneticPr fontId="13" type="noConversion"/>
  </si>
  <si>
    <t>· 감사원통보 &gt; 기타통보(NEW)
  - 계약재산교환통보와 동일하게 구성
  - 통보구분 코드 추가로 통보 추가
  - 감사원 담당자 : 추가 통보 메뉴의 권한을 부여받은 자
  - 필요한 서식 : 첨부파일 (서식안내)
    *연계 시, 계약재산교환통보 + 통보구분코드
· 기타통보는 요구자 없이 자료만 받는 기능이나 일단 요구사항에서 빼는 것으로 하고 추후 유지보수 때 추가 검토</t>
    <phoneticPr fontId="13" type="noConversion"/>
  </si>
  <si>
    <t>· 지식검색에서 검색되는 지식분류에 적극행정지원(사전컨설팅, 적극행정면책) 항목을 추가
  - 사전컨설팅, 적극행정면책 결과 처리시 공개여부를 선택하는 기능 제공
· 현재 사전컨설팅, 적극행정면책은 공감내에서는 지식검색으로 공유되고 있음
  - 사전컨설팅 신청, 접수, 승인 기능은 요구사항 삭제하고 기존 기능을 유지 할 수 있도록 함
  - 적극행정면책 신청, 접수, 승인 기능은 요구사항 삭제하고 기존 기능을 유지 할 수 있도록 함
  - 적극행정면책 메뉴에서 입력 버튼 삭제하고 처분요구에서 입력한 적극행정면책 내역을 조회하도록 함</t>
    <phoneticPr fontId="13" type="noConversion"/>
  </si>
  <si>
    <t>· 대행감사기관에게 의뢰는 온나라 연계로 제공
· 대행/위탁 감사계획서 내부결재 기능 제공</t>
    <phoneticPr fontId="13" type="noConversion"/>
  </si>
  <si>
    <t>· 세부감사계획의 변경 이력 관리기능은 다른 자체감사 기능과 똑같이 제공
  - 변경이력은 감사원보고이후의 수정사항에 대해서만 해당
· 공지사항 관리하는 기능은 해당 감사사항에 대해 질의응답 및 첨부파일을 등록할 수 있는 게시판형식으로 제공
  *공지사항은 총 대행감사의뢰계획관리 화면의 공통기능으로 설계(팝업 또는 특정 영역)</t>
    <phoneticPr fontId="13" type="noConversion"/>
  </si>
  <si>
    <t>· 심사자료 제출요구에서 자료제출 시 지표별 제출기능 추가
· 감사원 감사 &gt; 자체감사활동 실지심사, 서면심사 &gt; 심사계획/결과조회 에서 지표별 연결기능 추가
· 심사자료 요구 제출 시 감사계획결과, 조치이행, 일상감사에서 기존 첨부된 자료를 제출할 수 있도록 기능 추가 (심사지표별로 필요한 자료 파일을 가져올 수 있도록 감사사항별, 일상감사별 심사지표를 추가하는 게 필요함-김영민 차장)
· 감사원전용 &gt; 자체감사활동 실지심사 &gt; 심사자료 제출요구
· 감사원전용 &gt; 자체감사활동 서면심사 &gt; 서면심사자료 제출요구</t>
    <phoneticPr fontId="13" type="noConversion"/>
  </si>
  <si>
    <t>· 감사교육관리 필요함
  - 감사교육 외부연계의 경우, OASYS -&gt; 교육수료정보 -&gt; 감사명부의 교육현황으로 추가함
  - 교육부, KDN의 교육자료 연계 -&gt; 자체감사기구와의 중복 문제가 있음. 감사원, 감사교육원 교육수료내용은 빼고 받을 수 있도록 설계 필요
  - 교육신청 확정, 교육 참여 확정 시 각각 모든 기관에 신청자, 참석자 전체 리스트를 첨부하여 온라인 기안 통보하는 기능 필요함
  - 교육신청 시 별도의 제한은 필요없음 (기관제한, 지역제한, 최소인원 등)</t>
    <phoneticPr fontId="13" type="noConversion"/>
  </si>
  <si>
    <t>· 감사 교육 차수 관리</t>
    <phoneticPr fontId="13" type="noConversion"/>
  </si>
  <si>
    <t>· 감사 교육 수강생 관리
  - 일괄등록 기능
  - 교육신청 조회
  - 교육일정확정 기능, 교육결과 입력 기능
· 교육일정확정 시 온나라통보(기관에게, 현재 업무) 를 통한 안내</t>
    <phoneticPr fontId="13" type="noConversion"/>
  </si>
  <si>
    <t>· 외부 교육 일괄 등록
· 외부 교육 수강생 일괄등록</t>
    <phoneticPr fontId="13" type="noConversion"/>
  </si>
  <si>
    <t>· 기관현황 - 자체감사기구 - 자체감사기구 현황 과 기관현황 - 기관일반현황 이 가까이 있었으면 좋겠음
  *각 화면 내 기능 '메뉴이동' 제외
· 기관현황 &gt; 기관현황 &gt; 기관일반현황</t>
    <phoneticPr fontId="13" type="noConversion"/>
  </si>
  <si>
    <t>· 기구장의 주요경력 입력 시 경력소팅이 될 수 있도록 기능추가
  - 텍스트 입력 기능 유지, 예시 제공..
  *기관일반현황의 기관장도 동일하게
· 기관현황 &gt; 자체감사기구 &gt; 자체감사기구 현황</t>
    <phoneticPr fontId="13" type="noConversion"/>
  </si>
  <si>
    <t>· 상위코드 인 ‘주의’ 의 하위코드를 기관에서 등록하면, 상위코드의 처리기한을 따라가는데, 하위코드는 변경가능하도록 기능 구현 요청
  - 처리기한 초과해도 심사에는 별다른 영향 없음
· 시스템운영 &gt; 기관별 운영관리 &gt; 기관별 업무코드관리
  - 코드구분 : 처분요구종류 
  - 처리기한 잔여일수 단계별 통지간격 설정 기능 추가</t>
    <phoneticPr fontId="13" type="noConversion"/>
  </si>
  <si>
    <t>· SMS 기본, 메일은 옵션</t>
    <phoneticPr fontId="13" type="noConversion"/>
  </si>
  <si>
    <r>
      <t>· 자체감사 &gt; 자체감사활동 &gt; 감사계획실시결과
  - 지적사항 입력 시 공개용 공개문 입력 및 파일 첨부 기능 있음
    *인터뷰 중 공개문 입력 기능 제외 요청
· 공개문파일 업로드 시 개인정보탐지 기능 필요
  - 공개문파일을 작성하여 업로드 할 수 있도록 함</t>
    </r>
    <r>
      <rPr>
        <sz val="10"/>
        <color rgb="FFC00000"/>
        <rFont val="맑은 고딕"/>
        <family val="3"/>
        <charset val="129"/>
      </rPr>
      <t xml:space="preserve">
</t>
    </r>
    <r>
      <rPr>
        <sz val="10"/>
        <rFont val="맑은 고딕"/>
        <family val="3"/>
        <charset val="129"/>
      </rPr>
      <t xml:space="preserve">· 문서 내 개인정보 포함 여부는 개인정보검출 솔루션 기능에 따르고, 솔루션업체와 협업
</t>
    </r>
    <r>
      <rPr>
        <sz val="10"/>
        <color rgb="FF0000FF"/>
        <rFont val="맑은 고딕"/>
        <family val="3"/>
        <charset val="129"/>
      </rPr>
      <t xml:space="preserve">
(자체검토)
· 공개문 내에 처분대상자 신상정보는 반드시 빠질 수 있도록 체크 기능 추가 검토필요</t>
    </r>
    <phoneticPr fontId="13" type="noConversion"/>
  </si>
  <si>
    <r>
      <t>· 감사원보고 시 알림 대상
  - 감사원 : 감사실시기관을 담당하는 감사원 담당자
  - 주무기관 : 감사실시기관의 상급기관
    *공공감사에 관한 법률-제23조(감사결과의 통보 및 처리)에 따라 주무기관 담당자
· 자체감사 &gt; 자체감사활동 &gt; 감사계획실시결과
  - 감사원보고 (명칭변경검토)
· 감사결과를 감사원 및 주무기관에 통보하는 기능을 제공하여야 함 · · 감사원 및 주무기관 담당자는 문자메시지, 메일 등으로 알림받고, 통보받은 감사결과를 확인하는 기능을 제공하여야 함</t>
    </r>
    <r>
      <rPr>
        <sz val="10"/>
        <color rgb="FF0000FF"/>
        <rFont val="맑은 고딕"/>
        <family val="3"/>
        <charset val="129"/>
      </rPr>
      <t xml:space="preserve">
</t>
    </r>
    <r>
      <rPr>
        <sz val="10"/>
        <rFont val="맑은 고딕"/>
        <family val="3"/>
        <charset val="129"/>
      </rPr>
      <t xml:space="preserve">  - 주무기관 담당자는 상급기관의 감사업무담당자 권한을 가진 사람. 그준에서 정.부를 지정해서 보낼 수 있도록 하면 좋을 것으로 판단
  - 각자 또는 시스템운영자가 알림 수신유형을 선택 할 수 있도록 함. 수신거부 기능 포함
  - 현재 상급기관알림이 실시간일 경우, 1년에 만건이상 발송될 수 있으므로 검토필요. 월별, 분기별 발송, 메인화면에 알림.. 등
</t>
    </r>
    <r>
      <rPr>
        <sz val="10"/>
        <color rgb="FFC00000"/>
        <rFont val="맑은 고딕"/>
        <family val="3"/>
        <charset val="129"/>
      </rPr>
      <t xml:space="preserve">
</t>
    </r>
    <r>
      <rPr>
        <sz val="10"/>
        <color rgb="FF0000FF"/>
        <rFont val="맑은 고딕"/>
        <family val="3"/>
        <charset val="129"/>
      </rPr>
      <t>(고객검토)
· 감사원 담당자의 경우, 알림에 대해 메신저로 보내는 것도 검토필요 (김현식 감사관)</t>
    </r>
    <phoneticPr fontId="13" type="noConversion"/>
  </si>
  <si>
    <r>
      <t xml:space="preserve">· 수감기관에서 감사를 수감한 이력 조회 기능 제공
· 자체감사 &gt; 자체감사활동 &gt; 감사계획실시결과
· 수감기관에서 감사를 수감한 이력을 조회하는 기능을 제공하여야 함. 감사계획실시관리에서 보여줄 수 있도록 함. 추가로 감사결과보고서를 보여줌. 단, 감사원감사는 공개문만 보여줌.
  - 외부감사수감관리에서 입력 기능은 빼도록 함. 감사계획실시관리에서 입력된 수감내역만 보여주도록 함
</t>
    </r>
    <r>
      <rPr>
        <sz val="10"/>
        <color rgb="FF0000FF"/>
        <rFont val="맑은 고딕"/>
        <family val="3"/>
        <charset val="129"/>
      </rPr>
      <t xml:space="preserve">
(고객검토)
· 감사원의 실지감사계획 연계 시, 중복감사 체크는 어떻게 할지 검토필요 (김현식 감사관)</t>
    </r>
    <phoneticPr fontId="13" type="noConversion"/>
  </si>
  <si>
    <r>
      <t xml:space="preserve">· 종합정보검색 &gt; 기관별감사실적
  - 계획, 실적, 감사일수, 연인원
· 세부 감사계획이 자체감사심사 실적으로 자동 반영될 수 있도록 기능을 제공하여야 함. 감사실적이 아님. 엑셀에서 비고 삭제
  - 감사실적의 계획, 실적의 경우, 계획은 연간감사, 실적은 실지감사, 계획의 개수는 연간감사 등록갯수인지 연간감사와 연결된 실지감사 개수인지 알아서 잘 선택
  - 기존 22년도 연간감사를 등록하고 23년 실시감사에서 선택 할 수 없음. 앞으로는 23년 실지감사 입력 시 22년 연간감사를 선택하여 입력하고 22년 실지감사를 생성할 수 있도록 함
</t>
    </r>
    <r>
      <rPr>
        <sz val="10"/>
        <color rgb="FF0000FF"/>
        <rFont val="맑은 고딕"/>
        <family val="3"/>
        <charset val="129"/>
      </rPr>
      <t xml:space="preserve">
(고객검토)
· 현재 감사원에서 연간감사계획에 대행/위탁을 등록해야 실지감사에서 대행/위탁 감사를 등록할 수 있는 것으로 알고 있음. 해당 사항에 대해 연간감사, 대행위탁의 순서와 관계에 대한 확인 필요 (김현식 감사관)</t>
    </r>
    <phoneticPr fontId="13" type="noConversion"/>
  </si>
  <si>
    <r>
      <t xml:space="preserve">· 국무조정실 통보 내역을 관리하도록 함
· 현 업무는 중복감사 목록에 대해 시스템(초안에 대한 중복감사(중앙행정기관-공기업), 10일 이내 넘어가서)에서 다운로드하여 보고양식에 맞도록 수정하여, 담당감사관에게 전달 후 해당 감사관님이 국무조정실에 온나라보고를 함
</t>
    </r>
    <r>
      <rPr>
        <sz val="10"/>
        <color rgb="FF0000FF"/>
        <rFont val="맑은 고딕"/>
        <family val="3"/>
        <charset val="129"/>
      </rPr>
      <t xml:space="preserve">
(고객검토)
· 중복감사 목록 중 중복 건을 제거하는지 확인 필요 (최혜미 주무관)
· 보고양식, 보고당시 조회기준 제공 및 확인 필요 (최혜미 주무관)</t>
    </r>
    <phoneticPr fontId="13" type="noConversion"/>
  </si>
  <si>
    <r>
      <t xml:space="preserve">· 감사원감사 &gt; 감사자료 제출
· 자체감사 &gt;감사자료송수신 &gt; 감사자료제출
</t>
    </r>
    <r>
      <rPr>
        <sz val="10"/>
        <color rgb="FF0000FF"/>
        <rFont val="맑은 고딕"/>
        <family val="3"/>
        <charset val="129"/>
      </rPr>
      <t xml:space="preserve">
(고객검토)
· 심사부서와 해당 요건의 세부업무에 대해 정의사항 확인 필요 (김현식 감사관)</t>
    </r>
    <phoneticPr fontId="13" type="noConversion"/>
  </si>
  <si>
    <t>비고(요구정의 및 고객의견)</t>
    <phoneticPr fontId="13" type="noConversion"/>
  </si>
  <si>
    <r>
      <t xml:space="preserve">· 처분요구 처리기한내에 입력(60일)
  - 기간이 지연되면 계획서를 제출
    (사후관리 항목으로 별도 관리 하였으면 함)
· 자체감사 &gt; 자체감사활동 &gt; 조치이행관리
· 현재 단계별 이행관리 기능이 있음.
· 처리기간 지연에 따른 계획서 제출 및 사후관리 이관 기능
· 이행결과-&gt;징계통보로 연결 기능 추가
· 감사실시기관 또는 감사대상기관에서 이행상황을 등록ㆍ변경하는 기능을 제공
· 장기간 소요되는 처분요구에 대한 단계별 이행상황 관리 등 별도 관리 기능을 제공
· 이행결과가 징계ㆍ문책에 해당하는 경우 징계결과, 징계일자 등 상세 내역을 입력하고, 징계 통보 항목으로 연결하는 기능을 제공
· 사후관리란 조치이행관리를 의미함
  - 이행예정인데 이행완료로 처리하는 경우가 있음(한전KDN)
  - 현재 단계별 이행내역을 입력하면 이행중으로 상태가 변경됨
</t>
    </r>
    <r>
      <rPr>
        <sz val="10"/>
        <color rgb="FF0000FF"/>
        <rFont val="맑은 고딕"/>
        <family val="3"/>
        <charset val="129"/>
      </rPr>
      <t>(고객검토)
· 재심의 또는 사후관리를 위해 조치기한연장 규정에 대해 검토필요 (김현식 감사관)</t>
    </r>
    <phoneticPr fontId="13" type="noConversion"/>
  </si>
  <si>
    <r>
      <t xml:space="preserve">· 사후관리 등록 시 사용자(기관담당자)에게 알림 전송
· 시스템 기본알림 (SMS, 개인알림) 으로 진행하고 사용자가 설정할 수 있게
</t>
    </r>
    <r>
      <rPr>
        <sz val="10"/>
        <color rgb="FF0000FF"/>
        <rFont val="맑은 고딕"/>
        <family val="3"/>
        <charset val="129"/>
      </rPr>
      <t xml:space="preserve">
(고객검토)
· 요구사항에 대한 구체화 의견 확인 필요 (김현식 감사관)</t>
    </r>
    <phoneticPr fontId="13" type="noConversion"/>
  </si>
  <si>
    <t>(고객검토)
· 기능 필요없음에 대한 의견 확인 필요 (최혜미 주무관)</t>
    <phoneticPr fontId="13" type="noConversion"/>
  </si>
  <si>
    <r>
      <t xml:space="preserve">· 자체감사 &gt; 일상감사 &gt; 일상감사 실시결과
  - 일상감사현황 등록
  - 감사결과 등록 기능 있음
· 일상감사 상세내역 입력은 하지 않음. 일상감사 업무설정에서 선택기능 삭제함
  - 일상감사 현황내역에 첨부파일 기능을 제공함
  - 일괄 등록 후 필요한 경우, 파일을 첨부할 수 있도록 함
</t>
    </r>
    <r>
      <rPr>
        <sz val="10"/>
        <color rgb="FF0000FF"/>
        <rFont val="맑은 고딕"/>
        <family val="3"/>
        <charset val="129"/>
      </rPr>
      <t xml:space="preserve">
(고객검토)
· 일상감사 첨부파일의 경우, 심사에 연계되는 것도 검토 필요 (김현식 감사관)</t>
    </r>
    <phoneticPr fontId="13" type="noConversion"/>
  </si>
  <si>
    <r>
      <t xml:space="preserve">· 기관별 통보현황을 확인하고, 추이를 분석하는 기능을 제공
· 감사원통보 &gt; 대장 및 통계 &gt; 통보통계
· 추이분석 항목 요청
</t>
    </r>
    <r>
      <rPr>
        <sz val="10"/>
        <color rgb="FF0000FF"/>
        <rFont val="맑은 고딕"/>
        <family val="3"/>
        <charset val="129"/>
      </rPr>
      <t xml:space="preserve">
(고객검토)
· 요구사항에 대한 구체화 의견 확인 필요 (김현식 감사관)</t>
    </r>
    <phoneticPr fontId="13" type="noConversion"/>
  </si>
  <si>
    <r>
      <t xml:space="preserve">· 감사원 내부 시스템의 특수관리사항은  기존 연계 존재
· 변상판정에 대한 특수관리 사항을 관리하는 기능을 제공
· 감사원감사 &gt; 이행상황 &gt; 특수관리사항
</t>
    </r>
    <r>
      <rPr>
        <sz val="10"/>
        <color rgb="FF0000FF"/>
        <rFont val="맑은 고딕"/>
        <family val="3"/>
        <charset val="129"/>
      </rPr>
      <t xml:space="preserve">
(고객검토)
· 요구사항에 대한 구체화 의견 확인 필요 (김현식 감사관)</t>
    </r>
    <phoneticPr fontId="13" type="noConversion"/>
  </si>
  <si>
    <r>
      <rPr>
        <sz val="10"/>
        <rFont val="맑은 고딕"/>
        <family val="3"/>
        <charset val="129"/>
      </rPr>
      <t xml:space="preserve">· 조회조건 감사연번 현행화 필요
  - 상세내용 상 목록과 같도록 감사연번 동기화 (감사연번은 전자감사 기준으로 수정 요청함)
  - 이행상황회보 연계 시 싱크 맞도록 개선
  - 감사원감사 &gt; 이행상황 &gt; 이행상황회보
  - 이행회보에서 이행담당자 정보는 수정가능하도록 요청 (이행상황 회보리스트가 없을 때)
</t>
    </r>
    <r>
      <rPr>
        <sz val="10"/>
        <color rgb="FF0000FF"/>
        <rFont val="맑은 고딕"/>
        <family val="3"/>
        <charset val="129"/>
      </rPr>
      <t xml:space="preserve">
(고객검토)
· 요구사항에 대한 구체화 의견 확인 필요 (김현식 감사관)</t>
    </r>
    <phoneticPr fontId="13" type="noConversion"/>
  </si>
  <si>
    <t>(자체검토)
· 솔루션 도입여부 및 해결방안에 대한 검토 필요</t>
    <phoneticPr fontId="13" type="noConversion"/>
  </si>
  <si>
    <r>
      <rPr>
        <sz val="10"/>
        <rFont val="맑은 고딕"/>
        <family val="3"/>
        <charset val="129"/>
      </rPr>
      <t xml:space="preserve">· 다건 파일, 드래그 기능 제공
</t>
    </r>
    <r>
      <rPr>
        <sz val="10"/>
        <color rgb="FF0000FF"/>
        <rFont val="맑은 고딕"/>
        <family val="3"/>
        <charset val="129"/>
      </rPr>
      <t xml:space="preserve">
(자체검토)
· 솔루션 도입여부 및 해결방안에 대한 검토 필요</t>
    </r>
    <phoneticPr fontId="13" type="noConversion"/>
  </si>
  <si>
    <r>
      <t>· 일괄업로드 시 정합성 체크 (감사인명부 업로드 시 같은 자료는 업로드 되지 않도록 고도화)
  - 전화번호 UI요소 적용 (전화번호는 지역번호 선택 기능 등)</t>
    </r>
    <r>
      <rPr>
        <sz val="10"/>
        <color rgb="FFC00000"/>
        <rFont val="맑은 고딕"/>
        <family val="3"/>
        <charset val="129"/>
      </rPr>
      <t xml:space="preserve">
</t>
    </r>
    <r>
      <rPr>
        <sz val="10"/>
        <rFont val="맑은 고딕"/>
        <family val="3"/>
        <charset val="129"/>
      </rPr>
      <t xml:space="preserve">  - 자체감사기구 기구장의 주요경력이 시간순서대로 나왔으면 함 (TO-BE에서는 최근 경력사항 및 기타 경력사항으로 나누어 입력하도록 하였으면 함)
· 기관현황 &gt; 자체감사기구 &gt; 감사담당자 명부
  - 감사담당자별 상세정보, 근무경력, 교육현황 조회, 수정, 추가 기능.
  - 명부순서변경 : 기관별 감사담당자의 순서 변경 기능.
  - 신규명부제출 : 감사담당자 권한 지정 후 공문 발송 기능
</t>
    </r>
    <r>
      <rPr>
        <sz val="10"/>
        <color rgb="FF0000FF"/>
        <rFont val="맑은 고딕"/>
        <family val="3"/>
        <charset val="129"/>
      </rPr>
      <t xml:space="preserve">
(고객검토)
· 자료파기 규정(회원휴면 및 파기계획 등)에 대해 검토필요 (김현식 감사관)</t>
    </r>
    <phoneticPr fontId="13" type="noConversion"/>
  </si>
  <si>
    <t>(고객검토)
· 요구사항에 대한 구체화 의견 확인 필요 (김현식 감사관)</t>
    <phoneticPr fontId="13" type="noConversion"/>
  </si>
  <si>
    <r>
      <t xml:space="preserve">· 알림을 위해 처리기한이 임박한 처분요구 내역을 조회할 수 있는 기능 추가
</t>
    </r>
    <r>
      <rPr>
        <sz val="10"/>
        <color rgb="FF0000FF"/>
        <rFont val="맑은 고딕"/>
        <family val="3"/>
        <charset val="129"/>
      </rPr>
      <t xml:space="preserve">
(고객검토)
· 요구사항에 대한 구체화 의견 확인 필요 (김현식 감사관)</t>
    </r>
    <phoneticPr fontId="13" type="noConversion"/>
  </si>
  <si>
    <r>
      <t xml:space="preserve">· 처리기한에 따른 처분요구에 대해 발송한 알림 이력 조회 기능 추가
</t>
    </r>
    <r>
      <rPr>
        <sz val="10"/>
        <color rgb="FF0000FF"/>
        <rFont val="맑은 고딕"/>
        <family val="3"/>
        <charset val="129"/>
      </rPr>
      <t>(고객검토)
· 요구사항에 대한 구체화 의견 확인 필요 (김현식 감사관)</t>
    </r>
    <phoneticPr fontId="13" type="noConversion"/>
  </si>
  <si>
    <r>
      <t xml:space="preserve">· 통계 관련 개발 필요
</t>
    </r>
    <r>
      <rPr>
        <sz val="10"/>
        <color rgb="FF0000FF"/>
        <rFont val="맑은 고딕"/>
        <family val="3"/>
        <charset val="129"/>
      </rPr>
      <t xml:space="preserve">
(고객검토)
· 통계양식 정의 필요 (김현식 감사관)</t>
    </r>
    <phoneticPr fontId="13" type="noConversion"/>
  </si>
  <si>
    <t>· 감사원감사 절차별로 공문 발생시 감사원 내부 시스템으로 부터 공문정보를 연계수신 받아 공감시스템에서 해당 감사사항의 상태 변경</t>
    <phoneticPr fontId="13" type="noConversion"/>
  </si>
  <si>
    <t>· 고객과 요구사항 정의 회의중 요구사항 제외하기록 협의</t>
    <phoneticPr fontId="13" type="noConversion"/>
  </si>
  <si>
    <t>요구사항
상세ID</t>
    <phoneticPr fontId="13" type="noConversion"/>
  </si>
  <si>
    <t>설계(DE)</t>
    <phoneticPr fontId="13" type="noConversion"/>
  </si>
  <si>
    <t>순번</t>
    <phoneticPr fontId="13" type="noConversion"/>
  </si>
  <si>
    <t>영문테이블명</t>
    <phoneticPr fontId="13" type="noConversion"/>
  </si>
  <si>
    <t>영문 테이블명</t>
  </si>
  <si>
    <t>구분</t>
    <phoneticPr fontId="13" type="noConversion"/>
  </si>
  <si>
    <t>항목명</t>
    <phoneticPr fontId="13" type="noConversion"/>
  </si>
  <si>
    <t>항목 정의 및 작성 지침</t>
    <phoneticPr fontId="13" type="noConversion"/>
  </si>
  <si>
    <t>※ 공공기관의 데이터베이스 표준화 지침 [시행 2023.4.3.] [행정안전부고시 제2023-18호, 2023.4.3. 일부개정]</t>
    <phoneticPr fontId="13" type="noConversion"/>
  </si>
  <si>
    <t>[별표 2] 공공데이터베이스 산출물 표준 관리항목(공공기관의 데이터베이스 표준화 지침) 준수</t>
    <phoneticPr fontId="13" type="noConversion"/>
  </si>
  <si>
    <t>컬럼정의서</t>
  </si>
  <si>
    <t>컬럼정의서</t>
    <phoneticPr fontId="13" type="noConversion"/>
  </si>
  <si>
    <t>PAIS-PDM-DE-2211</t>
    <phoneticPr fontId="13" type="noConversion"/>
  </si>
  <si>
    <t>한글컬럼명</t>
    <phoneticPr fontId="13" type="noConversion"/>
  </si>
  <si>
    <t>영문컬럼명</t>
    <phoneticPr fontId="13" type="noConversion"/>
  </si>
  <si>
    <t>컬럼설명</t>
    <phoneticPr fontId="13" type="noConversion"/>
  </si>
  <si>
    <t>연관엔티티명</t>
    <phoneticPr fontId="13" type="noConversion"/>
  </si>
  <si>
    <t>연관속성명</t>
    <phoneticPr fontId="13" type="noConversion"/>
  </si>
  <si>
    <t>데이터타입</t>
    <phoneticPr fontId="13" type="noConversion"/>
  </si>
  <si>
    <t>데이터길이</t>
    <phoneticPr fontId="13" type="noConversion"/>
  </si>
  <si>
    <t>NotNull여부</t>
    <phoneticPr fontId="13" type="noConversion"/>
  </si>
  <si>
    <t>PK정보
(Primary Key)</t>
    <phoneticPr fontId="13" type="noConversion"/>
  </si>
  <si>
    <t>AK정보
(Altemate Key)</t>
    <phoneticPr fontId="13" type="noConversion"/>
  </si>
  <si>
    <t>FK정보
(Foreign Key)</t>
    <phoneticPr fontId="13" type="noConversion"/>
  </si>
  <si>
    <t>제약조건</t>
  </si>
  <si>
    <t>제약조건</t>
    <phoneticPr fontId="13" type="noConversion"/>
  </si>
  <si>
    <t>개인정보여부</t>
    <phoneticPr fontId="13" type="noConversion"/>
  </si>
  <si>
    <t>암호화여부</t>
    <phoneticPr fontId="13" type="noConversion"/>
  </si>
  <si>
    <t>공개/비공개여부</t>
    <phoneticPr fontId="13" type="noConversion"/>
  </si>
  <si>
    <t>○ 해당 컬럼이 소속된 테이블의 이름(영문명)을 기재</t>
  </si>
  <si>
    <t>한글 컬럼명</t>
  </si>
  <si>
    <t>○ 해당 컬럼과 연관되는 속성의 이름과 동일하게 부여하며, 표준용어를 준수하여 부여할 컬럼 한글 명칭을 기재</t>
  </si>
  <si>
    <t>영문 컬럼명</t>
  </si>
  <si>
    <t>○ 컬럼의 물리적 영문 이름으로 ‘표준용어정의서’에 등록된 용어를 사용</t>
  </si>
  <si>
    <t>컬럼 설명</t>
  </si>
  <si>
    <t>○ 컬럼에 대한 이해를 돕기 위하여 필요한 부가적인 설명 및 예외 사항 등을 기재</t>
  </si>
  <si>
    <t>연관 엔터티명</t>
  </si>
  <si>
    <t>○ 해당 컬럼이 표현하는 논리적 데이터요소인 ‘엔터티명’을 기재</t>
  </si>
  <si>
    <t>○ ‘엔터티정의서’에 기록한 ‘엔터티명’으로 기재</t>
  </si>
  <si>
    <t>연관 속성명</t>
  </si>
  <si>
    <t>○ 해당 컬럼이 표현하는 논리적 데이터요소인 ‘속성명’을 기재</t>
  </si>
  <si>
    <t>○ ‘속성정의서’에 기록한 ‘속성명’으로 기재</t>
  </si>
  <si>
    <t>데이터 타입</t>
  </si>
  <si>
    <t>○ 컬럼 값의 물리적 표현 방식으로 DBMS 종속적인 데이터타입의 이름을 기재</t>
  </si>
  <si>
    <t>데이터 길이</t>
  </si>
  <si>
    <t xml:space="preserve">○ ‘도메인정의서’의 ‘길이’를 기재 </t>
  </si>
  <si>
    <t>- ‘도메인정의서’에 없는 경우 해당 컬럼의 값을 표현하기 위한 데이터의 길이로, DDL문에서 지정될 데이터 길이를 DBMS 종속적인 표현으로 기재(DATE 타입과 같이 길이가 필요 없는 경우 생략)</t>
  </si>
  <si>
    <t>Not Null 여부</t>
  </si>
  <si>
    <t>○ 데이터가 생성(Insert)되는 시점에 컬럼 값이 반드시 존재해야 하는지를 표시</t>
  </si>
  <si>
    <t>- 값의 표시 : "Y" - Nullable, "N" - Not Null</t>
  </si>
  <si>
    <t>PK정보</t>
  </si>
  <si>
    <t>(Primary Key)</t>
  </si>
  <si>
    <t>○ PK(기본키)에 참여하는 컬럼이면 "PK"와 숫자로 된 참여순서를 이용하여 표시하고 PK에 참여하지 않으면 생략</t>
  </si>
  <si>
    <t>- (예시) PK01(PK를 구성하는 컬럼 중 참여순서가 첫 번째), PK02(PK를 구성하는 컬럼 중 참여순서가 두 번째) 등</t>
  </si>
  <si>
    <t>AK정보</t>
  </si>
  <si>
    <t>(Alternate Key)</t>
  </si>
  <si>
    <t>○ AK(부키)에 참여하는 컬럼이면 "AK"와 숫자로 된 참여순서를 이용하여 표시하고 AK에 참여하지 않으면 생략</t>
  </si>
  <si>
    <t>- (예시) AK_1-01(AK_1을 구성하는 컬럼 중 참여순서가 첫 번째), AK_1-02(AK_1을 구성하는 컬럼 중 참여순서가 두 번째) 등</t>
  </si>
  <si>
    <t>FK정보</t>
  </si>
  <si>
    <t>(Foreign Key)</t>
  </si>
  <si>
    <t>○ 해당 컬럼이 FK(외래키) 제약에 참여하는 컬럼인 경우에 한해, 관련 테이블 이름과 컬럼 이름을 마침표(.)로 연결하여 기재</t>
  </si>
  <si>
    <t>- (예시) 고객테이블의 고객번호 참조 : T_CUST.CUST_ID</t>
  </si>
  <si>
    <t>○ FK(외래키)에 포함되지 않는다면 생략</t>
  </si>
  <si>
    <t>○ 해당 값 영역에서 설명하는 컬럼 값의 특성 이외에, 컬럼에 대해 추가적으로 명시해야 할 제약조건(허용범위, 구분값, 기본값 등)을 기재</t>
  </si>
  <si>
    <t>개인정보 여부</t>
  </si>
  <si>
    <t>○ 컬럼 값의 개인정보(“개인정보 비식별 조치 가이드라인” 식별자 조치 기준) 포함 여부</t>
  </si>
  <si>
    <t>암호화 여부</t>
  </si>
  <si>
    <t>○ 해당 컬럼이 개인정보 보호 등의 이유로 암호화가 되어 있는지를 기재</t>
  </si>
  <si>
    <t>공개/비공개 여부</t>
  </si>
  <si>
    <t>○ 해당 컬럼의 메타데이터 및 원천데이터 정보에 대한 공개 또는 비공개 여부(비공개의 경우 비공개 사유 기재)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</si>
</sst>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0.00_ "/>
  </numFmts>
  <fonts count="20">
    <font>
      <sz val="11"/>
      <color rgb="FF000000"/>
      <name val="맑은 고딕"/>
    </font>
    <font>
      <u/>
      <sz val="11"/>
      <color rgb="FF0563C1"/>
      <name val="맑은 고딕"/>
      <family val="3"/>
      <charset val="129"/>
    </font>
    <font>
      <sz val="11"/>
      <color rgb="FFFF0000"/>
      <name val="맑은 고딕"/>
      <family val="3"/>
      <charset val="129"/>
    </font>
    <font>
      <sz val="10"/>
      <color rgb="FF000000"/>
      <name val="맑은 고딕"/>
      <family val="3"/>
      <charset val="129"/>
    </font>
    <font>
      <u/>
      <sz val="10"/>
      <color rgb="FF0563C1"/>
      <name val="맑은 고딕"/>
      <family val="3"/>
      <charset val="129"/>
    </font>
    <font>
      <b/>
      <sz val="10"/>
      <color rgb="FF000000"/>
      <name val="맑은 고딕"/>
      <family val="3"/>
      <charset val="129"/>
    </font>
    <font>
      <b/>
      <sz val="10"/>
      <color rgb="FF4F81BD"/>
      <name val="맑은 고딕"/>
      <family val="3"/>
      <charset val="129"/>
    </font>
    <font>
      <b/>
      <sz val="28"/>
      <color rgb="FF000000"/>
      <name val="맑은 고딕"/>
      <family val="3"/>
      <charset val="129"/>
    </font>
    <font>
      <sz val="10"/>
      <color rgb="FF0070C0"/>
      <name val="맑은 고딕"/>
      <family val="3"/>
      <charset val="129"/>
    </font>
    <font>
      <sz val="10"/>
      <color rgb="FFC00000"/>
      <name val="맑은 고딕"/>
      <family val="3"/>
      <charset val="129"/>
    </font>
    <font>
      <sz val="10"/>
      <color rgb="FFFF0000"/>
      <name val="맑은 고딕"/>
      <family val="3"/>
      <charset val="129"/>
    </font>
    <font>
      <sz val="14"/>
      <color rgb="FF000000"/>
      <name val="맑은 고딕"/>
      <family val="3"/>
      <charset val="129"/>
    </font>
    <font>
      <sz val="11"/>
      <color rgb="FF000000"/>
      <name val="맑은 고딕"/>
      <family val="3"/>
      <charset val="129"/>
    </font>
    <font>
      <sz val="8"/>
      <name val="돋움"/>
      <family val="3"/>
      <charset val="129"/>
    </font>
    <font>
      <sz val="10"/>
      <name val="맑은 고딕"/>
      <family val="3"/>
      <charset val="129"/>
    </font>
    <font>
      <b/>
      <sz val="10"/>
      <name val="맑은 고딕"/>
      <family val="3"/>
      <charset val="129"/>
    </font>
    <font>
      <sz val="11"/>
      <name val="맑은 고딕"/>
      <family val="3"/>
      <charset val="129"/>
    </font>
    <font>
      <sz val="11"/>
      <color rgb="FFC00000"/>
      <name val="맑은 고딕"/>
      <family val="3"/>
      <charset val="129"/>
    </font>
    <font>
      <sz val="10"/>
      <color rgb="FF0000FF"/>
      <name val="맑은 고딕"/>
      <family val="3"/>
      <charset val="129"/>
    </font>
    <font>
      <sz val="10"/>
      <color rgb="FF000000"/>
      <name val="맑은 고딕"/>
      <family val="3"/>
      <charset val="129"/>
      <scheme val="minor"/>
    </font>
  </fonts>
  <fills count="9">
    <fill>
      <patternFill patternType="none"/>
    </fill>
    <fill>
      <patternFill patternType="gray125"/>
    </fill>
    <fill>
      <patternFill patternType="solid">
        <fgColor rgb="FFBFBFBF"/>
        <bgColor indexed="64"/>
      </patternFill>
    </fill>
    <fill>
      <patternFill patternType="solid">
        <fgColor rgb="FFF2F2F2"/>
        <bgColor indexed="64"/>
      </patternFill>
    </fill>
    <fill>
      <patternFill patternType="solid">
        <fgColor rgb="FFDAE3F3"/>
        <bgColor indexed="64"/>
      </patternFill>
    </fill>
    <fill>
      <patternFill patternType="solid">
        <fgColor rgb="FFFFFF00"/>
        <bgColor indexed="64"/>
      </patternFill>
    </fill>
    <fill>
      <patternFill patternType="solid">
        <fgColor rgb="FFD9D9D9"/>
        <bgColor indexed="64"/>
      </patternFill>
    </fill>
    <fill>
      <patternFill patternType="solid">
        <fgColor rgb="FFFFFFFF"/>
        <bgColor indexed="64"/>
      </patternFill>
    </fill>
    <fill>
      <patternFill patternType="solid">
        <fgColor theme="5"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dashed">
        <color rgb="FFBFBFBF"/>
      </top>
      <bottom style="dashed">
        <color rgb="FFBFBFBF"/>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rgb="FF808080"/>
      </right>
      <top style="thin">
        <color rgb="FF808080"/>
      </top>
      <bottom/>
      <diagonal/>
    </border>
    <border>
      <left/>
      <right style="thin">
        <color rgb="FF808080"/>
      </right>
      <top/>
      <bottom/>
      <diagonal/>
    </border>
    <border>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style="thin">
        <color rgb="FF808080"/>
      </left>
      <right/>
      <top style="thin">
        <color rgb="FF808080"/>
      </top>
      <bottom/>
      <diagonal/>
    </border>
    <border>
      <left style="thin">
        <color rgb="FF808080"/>
      </left>
      <right/>
      <top/>
      <bottom style="thin">
        <color rgb="FF808080"/>
      </bottom>
      <diagonal/>
    </border>
    <border>
      <left style="thin">
        <color rgb="FF808080"/>
      </left>
      <right style="thin">
        <color rgb="FF808080"/>
      </right>
      <top/>
      <bottom/>
      <diagonal/>
    </border>
    <border>
      <left style="thin">
        <color rgb="FF808080"/>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alignment vertical="center"/>
    </xf>
    <xf numFmtId="0" fontId="1" fillId="0" borderId="0">
      <alignment vertical="center"/>
    </xf>
    <xf numFmtId="0" fontId="12" fillId="0" borderId="0">
      <alignment vertical="center"/>
    </xf>
    <xf numFmtId="0" fontId="2" fillId="0" borderId="0">
      <alignment vertical="center"/>
    </xf>
  </cellStyleXfs>
  <cellXfs count="91">
    <xf numFmtId="0" fontId="0" fillId="0" borderId="0" xfId="0">
      <alignment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lignment vertical="center"/>
    </xf>
    <xf numFmtId="0" fontId="3" fillId="0" borderId="1" xfId="0" applyFont="1" applyBorder="1" applyAlignment="1">
      <alignment vertical="center" wrapText="1"/>
    </xf>
    <xf numFmtId="0" fontId="4" fillId="0" borderId="1" xfId="1" applyFont="1" applyBorder="1" applyAlignment="1">
      <alignment vertical="center" wrapText="1"/>
    </xf>
    <xf numFmtId="0" fontId="3" fillId="0" borderId="1" xfId="0" quotePrefix="1" applyFont="1" applyBorder="1" applyAlignment="1">
      <alignment horizontal="left" vertical="center" wrapText="1"/>
    </xf>
    <xf numFmtId="0" fontId="5" fillId="2" borderId="1" xfId="0" applyFont="1" applyFill="1" applyBorder="1" applyAlignment="1">
      <alignment horizontal="left" vertical="top"/>
    </xf>
    <xf numFmtId="0" fontId="0" fillId="0" borderId="0" xfId="0" applyAlignment="1">
      <alignment horizontal="left" vertical="top"/>
    </xf>
    <xf numFmtId="0" fontId="5" fillId="2" borderId="1" xfId="0" applyFont="1" applyFill="1" applyBorder="1" applyAlignment="1">
      <alignment horizontal="left" vertical="top" wrapText="1"/>
    </xf>
    <xf numFmtId="0" fontId="4" fillId="0" borderId="1" xfId="1" applyFont="1" applyBorder="1" applyAlignment="1">
      <alignment horizontal="left" vertical="center" wrapText="1"/>
    </xf>
    <xf numFmtId="176" fontId="5" fillId="0" borderId="0" xfId="2" applyNumberFormat="1" applyFont="1" applyAlignment="1">
      <alignment horizontal="left" vertical="center"/>
    </xf>
    <xf numFmtId="0" fontId="3" fillId="0" borderId="0" xfId="2" applyFont="1" applyAlignment="1">
      <alignment horizontal="center" vertical="center"/>
    </xf>
    <xf numFmtId="0" fontId="3" fillId="0" borderId="0" xfId="2" applyFont="1">
      <alignment vertical="center"/>
    </xf>
    <xf numFmtId="0" fontId="6" fillId="0" borderId="0" xfId="2" applyFont="1" applyAlignment="1">
      <alignment horizontal="right" vertical="center"/>
    </xf>
    <xf numFmtId="176" fontId="3" fillId="3" borderId="2" xfId="2" applyNumberFormat="1" applyFont="1" applyFill="1" applyBorder="1" applyAlignment="1">
      <alignment horizontal="center" vertical="center"/>
    </xf>
    <xf numFmtId="0" fontId="3" fillId="3" borderId="2" xfId="2" applyFont="1" applyFill="1" applyBorder="1" applyAlignment="1">
      <alignment horizontal="center" vertical="center"/>
    </xf>
    <xf numFmtId="177" fontId="3" fillId="0" borderId="2" xfId="2" applyNumberFormat="1" applyFont="1" applyBorder="1" applyAlignment="1">
      <alignment horizontal="center" vertical="center"/>
    </xf>
    <xf numFmtId="14" fontId="3" fillId="0" borderId="2" xfId="2" applyNumberFormat="1" applyFont="1" applyBorder="1" applyAlignment="1">
      <alignment horizontal="center" vertical="center"/>
    </xf>
    <xf numFmtId="0" fontId="3" fillId="0" borderId="2" xfId="2" applyFont="1" applyBorder="1" applyAlignment="1">
      <alignment horizontal="center" vertical="center"/>
    </xf>
    <xf numFmtId="0" fontId="5" fillId="0" borderId="2" xfId="2" applyFont="1" applyBorder="1" applyAlignment="1">
      <alignment horizontal="center" vertical="center"/>
    </xf>
    <xf numFmtId="0" fontId="3" fillId="0" borderId="2" xfId="2" applyFont="1" applyBorder="1" applyAlignment="1">
      <alignment horizontal="left" vertical="center" indent="1"/>
    </xf>
    <xf numFmtId="177" fontId="3" fillId="0" borderId="0" xfId="2" applyNumberFormat="1" applyFont="1" applyAlignment="1">
      <alignment horizontal="center" vertical="center"/>
    </xf>
    <xf numFmtId="0" fontId="3" fillId="0" borderId="0" xfId="2" applyFont="1" applyAlignment="1">
      <alignment horizontal="left" vertical="center" indent="1"/>
    </xf>
    <xf numFmtId="176" fontId="3" fillId="0" borderId="0" xfId="2" applyNumberFormat="1" applyFont="1" applyAlignment="1">
      <alignment horizontal="center" vertical="center"/>
    </xf>
    <xf numFmtId="0" fontId="7" fillId="0" borderId="0" xfId="2" applyFont="1">
      <alignment vertical="center"/>
    </xf>
    <xf numFmtId="0" fontId="5" fillId="0" borderId="0" xfId="2" applyFont="1">
      <alignment vertical="center"/>
    </xf>
    <xf numFmtId="14" fontId="3" fillId="0" borderId="0" xfId="2" applyNumberFormat="1" applyFont="1" applyAlignment="1">
      <alignment horizontal="left" vertical="center"/>
    </xf>
    <xf numFmtId="177" fontId="3" fillId="0" borderId="0" xfId="2" applyNumberFormat="1" applyFont="1" applyAlignment="1">
      <alignment horizontal="left" vertical="center"/>
    </xf>
    <xf numFmtId="0" fontId="3" fillId="3" borderId="1" xfId="2" applyFont="1" applyFill="1" applyBorder="1" applyAlignment="1">
      <alignment horizontal="center" vertical="center"/>
    </xf>
    <xf numFmtId="0" fontId="3" fillId="0" borderId="1" xfId="0" applyFont="1" applyBorder="1" applyAlignment="1">
      <alignment horizontal="center" vertical="center" wrapText="1"/>
    </xf>
    <xf numFmtId="0" fontId="0" fillId="0" borderId="0" xfId="0" applyAlignment="1">
      <alignment horizontal="center" vertical="center"/>
    </xf>
    <xf numFmtId="49" fontId="3" fillId="0" borderId="1" xfId="0" applyNumberFormat="1" applyFont="1" applyBorder="1" applyAlignment="1">
      <alignment horizontal="center" vertical="center" wrapText="1"/>
    </xf>
    <xf numFmtId="49" fontId="8" fillId="4" borderId="1" xfId="0" applyNumberFormat="1" applyFont="1" applyFill="1" applyBorder="1" applyAlignment="1">
      <alignment horizontal="center" vertical="center" wrapText="1"/>
    </xf>
    <xf numFmtId="49" fontId="3" fillId="5" borderId="1" xfId="0" applyNumberFormat="1" applyFont="1" applyFill="1" applyBorder="1" applyAlignment="1">
      <alignment horizontal="center" vertical="center" wrapText="1"/>
    </xf>
    <xf numFmtId="0" fontId="9" fillId="0" borderId="1" xfId="3" applyFont="1" applyBorder="1" applyAlignment="1">
      <alignment horizontal="left" vertical="center" wrapText="1"/>
    </xf>
    <xf numFmtId="0" fontId="10" fillId="0" borderId="1" xfId="0" applyFont="1" applyBorder="1" applyAlignment="1">
      <alignment horizontal="left" vertical="center" wrapText="1"/>
    </xf>
    <xf numFmtId="0" fontId="10" fillId="0" borderId="1" xfId="0" applyFont="1" applyBorder="1" applyAlignment="1">
      <alignment horizontal="justify" vertical="center" wrapText="1"/>
    </xf>
    <xf numFmtId="0" fontId="10" fillId="0" borderId="1" xfId="0" applyFont="1" applyBorder="1" applyAlignment="1">
      <alignment vertical="center" wrapText="1"/>
    </xf>
    <xf numFmtId="0" fontId="3" fillId="0" borderId="1" xfId="0" applyFont="1" applyBorder="1" applyAlignment="1">
      <alignment horizontal="justify" vertical="center" wrapText="1"/>
    </xf>
    <xf numFmtId="0" fontId="3" fillId="5" borderId="1" xfId="0" applyFont="1" applyFill="1" applyBorder="1" applyAlignment="1">
      <alignment horizontal="left" vertical="center" wrapText="1"/>
    </xf>
    <xf numFmtId="0" fontId="8" fillId="0" borderId="1" xfId="0" applyFont="1" applyBorder="1" applyAlignment="1">
      <alignment horizontal="left" vertical="center" wrapText="1"/>
    </xf>
    <xf numFmtId="0" fontId="5" fillId="6" borderId="1" xfId="0" applyFont="1" applyFill="1" applyBorder="1" applyAlignment="1">
      <alignment horizontal="center" vertical="center"/>
    </xf>
    <xf numFmtId="0" fontId="11" fillId="0" borderId="0" xfId="0" applyFont="1">
      <alignment vertical="center"/>
    </xf>
    <xf numFmtId="0" fontId="0" fillId="7" borderId="0" xfId="0" applyFill="1">
      <alignment vertical="center"/>
    </xf>
    <xf numFmtId="0" fontId="3" fillId="7" borderId="1" xfId="0" applyFont="1" applyFill="1" applyBorder="1" applyAlignment="1">
      <alignment horizontal="center" vertical="center"/>
    </xf>
    <xf numFmtId="0" fontId="14" fillId="0" borderId="1" xfId="0" applyFont="1" applyBorder="1" applyAlignment="1">
      <alignment horizontal="left" vertical="center" wrapText="1"/>
    </xf>
    <xf numFmtId="0" fontId="14" fillId="7" borderId="1" xfId="0" applyFont="1" applyFill="1" applyBorder="1" applyAlignment="1">
      <alignment horizontal="left" vertical="center" wrapText="1"/>
    </xf>
    <xf numFmtId="0" fontId="15" fillId="2" borderId="1" xfId="0" applyFont="1" applyFill="1" applyBorder="1" applyAlignment="1">
      <alignment horizontal="left" vertical="top"/>
    </xf>
    <xf numFmtId="0" fontId="14" fillId="0" borderId="1" xfId="0" quotePrefix="1" applyFont="1" applyBorder="1" applyAlignment="1">
      <alignment horizontal="left" vertical="center" wrapText="1"/>
    </xf>
    <xf numFmtId="0" fontId="16" fillId="0" borderId="0" xfId="0" applyFont="1">
      <alignment vertical="center"/>
    </xf>
    <xf numFmtId="0" fontId="9" fillId="0" borderId="1" xfId="0" applyFont="1" applyBorder="1" applyAlignment="1">
      <alignment horizontal="left" vertical="center" wrapText="1"/>
    </xf>
    <xf numFmtId="0" fontId="18" fillId="0" borderId="1" xfId="0" applyFont="1" applyBorder="1" applyAlignment="1">
      <alignment horizontal="left" vertical="center" wrapText="1"/>
    </xf>
    <xf numFmtId="0" fontId="9" fillId="8" borderId="1" xfId="0" applyFont="1" applyFill="1" applyBorder="1" applyAlignment="1">
      <alignment horizontal="center" vertical="center"/>
    </xf>
    <xf numFmtId="0" fontId="9" fillId="8" borderId="1" xfId="0" applyFont="1" applyFill="1" applyBorder="1" applyAlignment="1">
      <alignment horizontal="left" vertical="center" wrapText="1"/>
    </xf>
    <xf numFmtId="0" fontId="17" fillId="8" borderId="0" xfId="0" applyFont="1" applyFill="1">
      <alignment vertical="center"/>
    </xf>
    <xf numFmtId="0" fontId="15" fillId="2" borderId="1" xfId="0" applyFont="1" applyFill="1" applyBorder="1" applyAlignment="1">
      <alignment horizontal="left" vertical="top" wrapText="1"/>
    </xf>
    <xf numFmtId="14" fontId="5" fillId="0" borderId="2" xfId="2" applyNumberFormat="1" applyFont="1" applyBorder="1" applyAlignment="1">
      <alignment horizontal="center" vertical="center"/>
    </xf>
    <xf numFmtId="0" fontId="19" fillId="0" borderId="0" xfId="0" applyFont="1">
      <alignment vertical="center"/>
    </xf>
    <xf numFmtId="0" fontId="19" fillId="0" borderId="0" xfId="0" applyFont="1" applyAlignment="1">
      <alignment horizontal="left" vertical="top"/>
    </xf>
    <xf numFmtId="0" fontId="0" fillId="0" borderId="0" xfId="0" applyAlignment="1">
      <alignment horizontal="left" vertical="center"/>
    </xf>
    <xf numFmtId="0" fontId="16" fillId="0" borderId="0" xfId="0" applyFont="1" applyAlignment="1">
      <alignment horizontal="left" vertical="center"/>
    </xf>
    <xf numFmtId="0" fontId="19" fillId="0" borderId="9" xfId="0" applyFont="1" applyBorder="1" applyAlignment="1">
      <alignment horizontal="center" vertical="center" wrapText="1"/>
    </xf>
    <xf numFmtId="0" fontId="19" fillId="0" borderId="10" xfId="0" applyFont="1" applyBorder="1" applyAlignment="1">
      <alignment horizontal="justify" vertical="center" wrapText="1"/>
    </xf>
    <xf numFmtId="0" fontId="19" fillId="0" borderId="13" xfId="0" applyFont="1" applyBorder="1" applyAlignment="1">
      <alignment horizontal="justify" vertical="center" wrapText="1"/>
    </xf>
    <xf numFmtId="0" fontId="19" fillId="0" borderId="14" xfId="0" applyFont="1" applyBorder="1" applyAlignment="1">
      <alignment horizontal="justify"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justify" vertical="center" wrapText="1"/>
    </xf>
    <xf numFmtId="0" fontId="19" fillId="0" borderId="12" xfId="0" applyFont="1" applyBorder="1" applyAlignment="1">
      <alignment vertical="center" wrapText="1"/>
    </xf>
    <xf numFmtId="0" fontId="5" fillId="2" borderId="17" xfId="0" applyFont="1" applyFill="1" applyBorder="1" applyAlignment="1">
      <alignment horizontal="left" vertical="top"/>
    </xf>
    <xf numFmtId="0" fontId="5" fillId="2" borderId="17" xfId="0" applyFont="1" applyFill="1" applyBorder="1" applyAlignment="1">
      <alignment horizontal="left" vertical="top" wrapText="1"/>
    </xf>
    <xf numFmtId="0" fontId="15" fillId="2" borderId="17" xfId="0" applyFont="1" applyFill="1" applyBorder="1" applyAlignment="1">
      <alignment horizontal="left" vertical="top" wrapText="1"/>
    </xf>
    <xf numFmtId="0" fontId="15" fillId="2" borderId="18" xfId="0" applyFont="1" applyFill="1" applyBorder="1" applyAlignment="1">
      <alignment horizontal="left" vertical="top" wrapText="1"/>
    </xf>
    <xf numFmtId="0" fontId="0" fillId="0" borderId="0" xfId="0" applyBorder="1" applyAlignment="1">
      <alignment horizontal="left" vertical="top"/>
    </xf>
    <xf numFmtId="0" fontId="3" fillId="3" borderId="1" xfId="2" applyFont="1" applyFill="1" applyBorder="1" applyAlignment="1">
      <alignment horizontal="center" vertical="center"/>
    </xf>
    <xf numFmtId="0" fontId="3" fillId="3" borderId="3" xfId="2" applyFont="1" applyFill="1" applyBorder="1" applyAlignment="1">
      <alignment horizontal="center" vertical="center"/>
    </xf>
    <xf numFmtId="0" fontId="3" fillId="0" borderId="1" xfId="2" applyFont="1" applyBorder="1" applyAlignment="1">
      <alignment horizontal="center" vertical="center"/>
    </xf>
    <xf numFmtId="0" fontId="3" fillId="0" borderId="3" xfId="2" applyFont="1" applyBorder="1" applyAlignment="1">
      <alignment horizontal="center" vertical="center"/>
    </xf>
    <xf numFmtId="0" fontId="3" fillId="3" borderId="4" xfId="2" applyFont="1" applyFill="1" applyBorder="1" applyAlignment="1">
      <alignment horizontal="center" vertical="center"/>
    </xf>
    <xf numFmtId="0" fontId="3" fillId="0" borderId="4" xfId="2" applyFont="1" applyBorder="1" applyAlignment="1">
      <alignment horizontal="center" vertical="center"/>
    </xf>
    <xf numFmtId="0" fontId="3" fillId="0" borderId="5" xfId="2" applyFont="1" applyBorder="1" applyAlignment="1">
      <alignment horizontal="center" vertical="center"/>
    </xf>
    <xf numFmtId="0" fontId="3" fillId="0" borderId="2" xfId="2" applyFont="1" applyBorder="1" applyAlignment="1">
      <alignment horizontal="left" vertical="center" indent="1"/>
    </xf>
    <xf numFmtId="0" fontId="3" fillId="3" borderId="2" xfId="2" applyFont="1" applyFill="1" applyBorder="1" applyAlignment="1">
      <alignment horizontal="center" vertical="center"/>
    </xf>
    <xf numFmtId="0" fontId="19"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5" fillId="6" borderId="1" xfId="0" applyFont="1" applyFill="1" applyBorder="1" applyAlignment="1">
      <alignment horizontal="center" vertical="center"/>
    </xf>
  </cellXfs>
  <cellStyles count="4">
    <cellStyle name="경고문" xfId="3"/>
    <cellStyle name="표준" xfId="0" builtinId="0"/>
    <cellStyle name="표준 2" xfId="2"/>
    <cellStyle name="하이퍼링크" xfId="1"/>
  </cellStyles>
  <dxfs count="0"/>
  <tableStyles count="0" defaultTableStyle="TableStyleMedium2" defaultPivotStyle="PivotStyleLight16"/>
  <colors>
    <mruColors>
      <color rgb="FF0000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209550</xdr:colOff>
      <xdr:row>17</xdr:row>
      <xdr:rowOff>76200</xdr:rowOff>
    </xdr:from>
    <xdr:to>
      <xdr:col>3</xdr:col>
      <xdr:colOff>723900</xdr:colOff>
      <xdr:row>19</xdr:row>
      <xdr:rowOff>133350</xdr:rowOff>
    </xdr:to>
    <xdr:pic>
      <xdr:nvPicPr>
        <xdr:cNvPr id="2" name="_x444352264" descr="EMB00003288486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28800" y="4676775"/>
          <a:ext cx="1323975"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A222158\Downloads\WBS_DART&#44160;&#53664;&#49884;&#49828;&#53596;&#51116;&#44396;&#52629;&#49324;&#50629;_v1.1.0_202207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Help"/>
      <sheetName val="Schedule"/>
      <sheetName val="Progress"/>
      <sheetName val="AnalysisReport"/>
      <sheetName val="Calendar"/>
      <sheetName val="TranslatedLanguages"/>
      <sheetName val="Workload"/>
      <sheetName val="Settings"/>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7.bin"/><Relationship Id="rId7" Type="http://schemas.openxmlformats.org/officeDocument/2006/relationships/printerSettings" Target="../printerSettings/printerSettings21.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6" Type="http://schemas.openxmlformats.org/officeDocument/2006/relationships/printerSettings" Target="../printerSettings/printerSettings20.bin"/><Relationship Id="rId5" Type="http://schemas.openxmlformats.org/officeDocument/2006/relationships/printerSettings" Target="../printerSettings/printerSettings19.bin"/><Relationship Id="rId4" Type="http://schemas.openxmlformats.org/officeDocument/2006/relationships/printerSettings" Target="../printerSettings/printerSettings1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4.bin"/><Relationship Id="rId7" Type="http://schemas.openxmlformats.org/officeDocument/2006/relationships/printerSettings" Target="../printerSettings/printerSettings28.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6" Type="http://schemas.openxmlformats.org/officeDocument/2006/relationships/printerSettings" Target="../printerSettings/printerSettings27.bin"/><Relationship Id="rId5" Type="http://schemas.openxmlformats.org/officeDocument/2006/relationships/printerSettings" Target="../printerSettings/printerSettings26.bin"/><Relationship Id="rId4" Type="http://schemas.openxmlformats.org/officeDocument/2006/relationships/printerSettings" Target="../printerSettings/printerSettings25.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35.bin"/><Relationship Id="rId3" Type="http://schemas.openxmlformats.org/officeDocument/2006/relationships/printerSettings" Target="../printerSettings/printerSettings31.bin"/><Relationship Id="rId7" Type="http://schemas.openxmlformats.org/officeDocument/2006/relationships/hyperlink" Target="https://www.grapecity.co.kr/spreadjs" TargetMode="External"/><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4.bin"/><Relationship Id="rId5" Type="http://schemas.openxmlformats.org/officeDocument/2006/relationships/printerSettings" Target="../printerSettings/printerSettings33.bin"/><Relationship Id="rId4" Type="http://schemas.openxmlformats.org/officeDocument/2006/relationships/printerSettings" Target="../printerSettings/printerSettings32.bin"/></Relationships>
</file>

<file path=xl/worksheets/_rels/sheet12.xml.rels><?xml version="1.0" encoding="UTF-8" standalone="yes"?>
<Relationships xmlns="http://schemas.openxmlformats.org/package/2006/relationships"><Relationship Id="rId2" Type="http://schemas.openxmlformats.org/officeDocument/2006/relationships/hyperlink" Target="https://hhseong.tistory.com/179" TargetMode="External"/><Relationship Id="rId1" Type="http://schemas.openxmlformats.org/officeDocument/2006/relationships/hyperlink" Target="https://www.grapecity.co.kr/spreadj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4:F22"/>
  <sheetViews>
    <sheetView showGridLines="0" tabSelected="1" zoomScale="85" zoomScaleNormal="85" zoomScaleSheetLayoutView="75" workbookViewId="0">
      <selection activeCell="C10" sqref="C10"/>
    </sheetView>
  </sheetViews>
  <sheetFormatPr defaultColWidth="9" defaultRowHeight="20.100000000000001" customHeight="1"/>
  <cols>
    <col min="1" max="12" width="10.625" style="13" customWidth="1"/>
    <col min="13" max="16384" width="9" style="13"/>
  </cols>
  <sheetData>
    <row r="4" spans="2:6" ht="39.950000000000003" customHeight="1">
      <c r="B4" s="25" t="str">
        <f>C6</f>
        <v>컬럼정의서</v>
      </c>
    </row>
    <row r="6" spans="2:6" ht="20.100000000000001" customHeight="1">
      <c r="B6" s="26" t="s">
        <v>488</v>
      </c>
      <c r="C6" s="13" t="s">
        <v>1408</v>
      </c>
    </row>
    <row r="7" spans="2:6" ht="20.100000000000001" customHeight="1">
      <c r="B7" s="26" t="s">
        <v>506</v>
      </c>
      <c r="C7" s="13" t="s">
        <v>110</v>
      </c>
    </row>
    <row r="8" spans="2:6" ht="20.100000000000001" customHeight="1">
      <c r="B8" s="26" t="s">
        <v>478</v>
      </c>
      <c r="C8" s="13" t="s">
        <v>1398</v>
      </c>
    </row>
    <row r="9" spans="2:6" ht="20.100000000000001" customHeight="1">
      <c r="B9" s="26" t="s">
        <v>510</v>
      </c>
      <c r="C9" s="13" t="s">
        <v>1409</v>
      </c>
    </row>
    <row r="10" spans="2:6" ht="20.100000000000001" customHeight="1">
      <c r="B10" s="26" t="s">
        <v>509</v>
      </c>
      <c r="C10" s="27"/>
    </row>
    <row r="11" spans="2:6" ht="20.100000000000001" customHeight="1">
      <c r="B11" s="26" t="s">
        <v>468</v>
      </c>
      <c r="C11" s="28"/>
    </row>
    <row r="12" spans="2:6" ht="20.100000000000001" customHeight="1">
      <c r="B12" s="26" t="s">
        <v>463</v>
      </c>
      <c r="C12" s="13" t="s">
        <v>158</v>
      </c>
    </row>
    <row r="13" spans="2:6" ht="20.100000000000001" customHeight="1">
      <c r="B13" s="26" t="s">
        <v>512</v>
      </c>
      <c r="C13" s="13" t="s">
        <v>505</v>
      </c>
    </row>
    <row r="14" spans="2:6" ht="20.100000000000001" customHeight="1">
      <c r="B14" s="26"/>
    </row>
    <row r="15" spans="2:6" ht="20.100000000000001" customHeight="1">
      <c r="B15" s="26" t="s">
        <v>472</v>
      </c>
    </row>
    <row r="16" spans="2:6" ht="20.100000000000001" customHeight="1">
      <c r="B16" s="29" t="s">
        <v>157</v>
      </c>
      <c r="C16" s="76" t="s">
        <v>1081</v>
      </c>
      <c r="D16" s="76"/>
      <c r="E16" s="76" t="s">
        <v>1082</v>
      </c>
      <c r="F16" s="77"/>
    </row>
    <row r="17" spans="2:6" ht="30" customHeight="1">
      <c r="B17" s="29" t="s">
        <v>513</v>
      </c>
      <c r="C17" s="78" t="s">
        <v>474</v>
      </c>
      <c r="D17" s="78"/>
      <c r="E17" s="78" t="s">
        <v>458</v>
      </c>
      <c r="F17" s="79"/>
    </row>
    <row r="18" spans="2:6" ht="20.100000000000001" customHeight="1">
      <c r="B18" s="76" t="s">
        <v>137</v>
      </c>
      <c r="C18" s="78"/>
      <c r="D18" s="78"/>
      <c r="E18" s="78"/>
      <c r="F18" s="79"/>
    </row>
    <row r="19" spans="2:6" ht="20.100000000000001" customHeight="1">
      <c r="B19" s="76"/>
      <c r="C19" s="78"/>
      <c r="D19" s="78"/>
      <c r="E19" s="78"/>
      <c r="F19" s="79"/>
    </row>
    <row r="20" spans="2:6" ht="20.100000000000001" customHeight="1">
      <c r="B20" s="80"/>
      <c r="C20" s="81"/>
      <c r="D20" s="81"/>
      <c r="E20" s="81"/>
      <c r="F20" s="82"/>
    </row>
    <row r="22" spans="2:6" ht="20.100000000000001" customHeight="1">
      <c r="D22"/>
    </row>
  </sheetData>
  <customSheetViews>
    <customSheetView guid="{2940EC69-0E40-4162-8549-ED35AA338A49}" scale="85" showGridLines="0">
      <selection activeCell="C12" sqref="C12"/>
      <pageMargins left="0.23597222566604614" right="0.23597222566604614" top="0.74750000238418579" bottom="0.74750000238418579" header="0.31486111879348755" footer="0.31486111879348755"/>
      <pageSetup paperSize="9" orientation="landscape" r:id="rId1"/>
    </customSheetView>
    <customSheetView guid="{795AB5AE-C53F-4700-AA4F-485409291E6B}" scale="85" showGridLines="0">
      <selection activeCell="C12" sqref="C12"/>
      <pageMargins left="0.23597222566604614" right="0.23597222566604614" top="0.74750000238418579" bottom="0.74750000238418579" header="0.31486111879348755" footer="0.31486111879348755"/>
      <pageSetup paperSize="9" orientation="landscape" r:id="rId2"/>
    </customSheetView>
    <customSheetView guid="{C0B3E00A-6A64-4A32-8796-BF55C9AAD4EA}" scale="85" showGridLines="0">
      <pageMargins left="0.23597222566604614" right="0.23597222566604614" top="0.74750000238418579" bottom="0.74750000238418579" header="0.31486111879348755" footer="0.31486111879348755"/>
      <pageSetup paperSize="9" orientation="landscape" r:id="rId3"/>
    </customSheetView>
    <customSheetView guid="{EB4CA770-1436-4E3D-889F-30E34BABACCC}" scale="85" showGridLines="0">
      <selection activeCell="C12" sqref="C12"/>
      <pageMargins left="0.23597222566604614" right="0.23597222566604614" top="0.74750000238418579" bottom="0.74750000238418579" header="0.31486111879348755" footer="0.31486111879348755"/>
      <pageSetup paperSize="9" orientation="landscape" r:id="rId4"/>
    </customSheetView>
    <customSheetView guid="{2A8CFD2D-F9CC-4306-8A26-A82C68617360}" scale="85" showGridLines="0">
      <pageMargins left="0.23597222566604614" right="0.23597222566604614" top="0.74750000238418579" bottom="0.74750000238418579" header="0.31486111879348755" footer="0.31486111879348755"/>
      <pageSetup paperSize="9" orientation="landscape" r:id="rId5"/>
    </customSheetView>
    <customSheetView guid="{70346E6A-FAEE-4C37-A89C-D6DC7354E054}" scale="85" showGridLines="0">
      <selection activeCell="C12" sqref="C12"/>
      <pageMargins left="0.23597222566604614" right="0.23597222566604614" top="0.74750000238418579" bottom="0.74750000238418579" header="0.31486111879348755" footer="0.31486111879348755"/>
      <pageSetup paperSize="9" orientation="landscape" r:id="rId6"/>
    </customSheetView>
  </customSheetViews>
  <mergeCells count="7">
    <mergeCell ref="C16:D16"/>
    <mergeCell ref="E16:F16"/>
    <mergeCell ref="C17:D17"/>
    <mergeCell ref="E17:F17"/>
    <mergeCell ref="B18:B20"/>
    <mergeCell ref="C18:D20"/>
    <mergeCell ref="E18:F20"/>
  </mergeCells>
  <phoneticPr fontId="13" type="noConversion"/>
  <pageMargins left="0.23597222566604614" right="0.23597222566604614" top="0.74750000238418579" bottom="0.74750000238418579" header="0.31486111879348755" footer="0.31486111879348755"/>
  <pageSetup paperSize="9" orientation="landscape"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48"/>
  <sheetViews>
    <sheetView showGridLines="0" zoomScale="85" zoomScaleNormal="85" zoomScaleSheetLayoutView="75" workbookViewId="0"/>
  </sheetViews>
  <sheetFormatPr defaultColWidth="9" defaultRowHeight="20.100000000000001" customHeight="1"/>
  <cols>
    <col min="1" max="1" width="10.625" style="24" customWidth="1"/>
    <col min="2" max="2" width="10.625" style="12" customWidth="1"/>
    <col min="3" max="9" width="10.625" style="23" customWidth="1"/>
    <col min="10" max="10" width="4.625" style="23" customWidth="1"/>
    <col min="11" max="12" width="13.625" style="12" customWidth="1"/>
    <col min="13" max="16384" width="9" style="13"/>
  </cols>
  <sheetData>
    <row r="1" spans="1:12" ht="20.100000000000001" customHeight="1">
      <c r="A1" s="11" t="s">
        <v>491</v>
      </c>
      <c r="C1" s="13"/>
      <c r="D1" s="13"/>
      <c r="E1" s="13"/>
      <c r="F1" s="13"/>
      <c r="G1" s="13"/>
      <c r="H1" s="13"/>
      <c r="I1" s="13"/>
      <c r="J1" s="13"/>
      <c r="K1" s="13"/>
      <c r="L1" s="14" t="s">
        <v>110</v>
      </c>
    </row>
    <row r="2" spans="1:12" ht="20.100000000000001" customHeight="1">
      <c r="A2" s="15" t="s">
        <v>156</v>
      </c>
      <c r="B2" s="16" t="s">
        <v>148</v>
      </c>
      <c r="C2" s="84" t="s">
        <v>460</v>
      </c>
      <c r="D2" s="84"/>
      <c r="E2" s="84"/>
      <c r="F2" s="84"/>
      <c r="G2" s="84"/>
      <c r="H2" s="84"/>
      <c r="I2" s="84"/>
      <c r="J2" s="84"/>
      <c r="K2" s="16" t="s">
        <v>133</v>
      </c>
      <c r="L2" s="16" t="s">
        <v>150</v>
      </c>
    </row>
    <row r="3" spans="1:12" ht="20.100000000000001" customHeight="1">
      <c r="A3" s="17">
        <v>0.5</v>
      </c>
      <c r="B3" s="18">
        <v>45036</v>
      </c>
      <c r="C3" s="83" t="s">
        <v>1084</v>
      </c>
      <c r="D3" s="83"/>
      <c r="E3" s="83"/>
      <c r="F3" s="83"/>
      <c r="G3" s="83"/>
      <c r="H3" s="83"/>
      <c r="I3" s="83"/>
      <c r="J3" s="83"/>
      <c r="K3" s="19" t="s">
        <v>465</v>
      </c>
      <c r="L3" s="19" t="s">
        <v>474</v>
      </c>
    </row>
    <row r="4" spans="1:12" ht="20.100000000000001" customHeight="1">
      <c r="A4" s="17"/>
      <c r="B4" s="18"/>
      <c r="C4" s="83"/>
      <c r="D4" s="83"/>
      <c r="E4" s="83"/>
      <c r="F4" s="83"/>
      <c r="G4" s="83"/>
      <c r="H4" s="83"/>
      <c r="I4" s="83"/>
      <c r="J4" s="83"/>
      <c r="K4" s="19"/>
      <c r="L4" s="19"/>
    </row>
    <row r="5" spans="1:12" ht="20.100000000000001" customHeight="1">
      <c r="A5" s="17"/>
      <c r="B5" s="18"/>
      <c r="C5" s="83"/>
      <c r="D5" s="83"/>
      <c r="E5" s="83"/>
      <c r="F5" s="83"/>
      <c r="G5" s="83"/>
      <c r="H5" s="83"/>
      <c r="I5" s="83"/>
      <c r="J5" s="83"/>
      <c r="K5" s="19"/>
      <c r="L5" s="19"/>
    </row>
    <row r="6" spans="1:12" ht="20.100000000000001" customHeight="1">
      <c r="A6" s="17"/>
      <c r="B6" s="18"/>
      <c r="C6" s="83"/>
      <c r="D6" s="83"/>
      <c r="E6" s="83"/>
      <c r="F6" s="83"/>
      <c r="G6" s="83"/>
      <c r="H6" s="83"/>
      <c r="I6" s="83"/>
      <c r="J6" s="83"/>
      <c r="K6" s="19"/>
      <c r="L6" s="19"/>
    </row>
    <row r="7" spans="1:12" ht="20.100000000000001" customHeight="1">
      <c r="A7" s="17"/>
      <c r="B7" s="18"/>
      <c r="C7" s="83"/>
      <c r="D7" s="83"/>
      <c r="E7" s="83"/>
      <c r="F7" s="83"/>
      <c r="G7" s="83"/>
      <c r="H7" s="83"/>
      <c r="I7" s="83"/>
      <c r="J7" s="83"/>
      <c r="K7" s="19"/>
      <c r="L7" s="19"/>
    </row>
    <row r="8" spans="1:12" ht="20.100000000000001" customHeight="1">
      <c r="A8" s="17"/>
      <c r="B8" s="18"/>
      <c r="C8" s="83"/>
      <c r="D8" s="83"/>
      <c r="E8" s="83"/>
      <c r="F8" s="83"/>
      <c r="G8" s="83"/>
      <c r="H8" s="83"/>
      <c r="I8" s="83"/>
      <c r="J8" s="83"/>
      <c r="K8" s="19"/>
      <c r="L8" s="19"/>
    </row>
    <row r="9" spans="1:12" ht="20.100000000000001" customHeight="1">
      <c r="A9" s="17"/>
      <c r="B9" s="18"/>
      <c r="C9" s="83"/>
      <c r="D9" s="83"/>
      <c r="E9" s="83"/>
      <c r="F9" s="83"/>
      <c r="G9" s="83"/>
      <c r="H9" s="83"/>
      <c r="I9" s="83"/>
      <c r="J9" s="83"/>
      <c r="K9" s="19"/>
      <c r="L9" s="19"/>
    </row>
    <row r="10" spans="1:12" ht="20.100000000000001" customHeight="1">
      <c r="A10" s="17"/>
      <c r="B10" s="18"/>
      <c r="C10" s="83"/>
      <c r="D10" s="83"/>
      <c r="E10" s="83"/>
      <c r="F10" s="83"/>
      <c r="G10" s="83"/>
      <c r="H10" s="83"/>
      <c r="I10" s="83"/>
      <c r="J10" s="83"/>
      <c r="K10" s="19"/>
      <c r="L10" s="19"/>
    </row>
    <row r="11" spans="1:12" ht="20.100000000000001" customHeight="1">
      <c r="A11" s="17"/>
      <c r="B11" s="18"/>
      <c r="C11" s="83"/>
      <c r="D11" s="83"/>
      <c r="E11" s="83"/>
      <c r="F11" s="83"/>
      <c r="G11" s="83"/>
      <c r="H11" s="83"/>
      <c r="I11" s="83"/>
      <c r="J11" s="83"/>
      <c r="K11" s="19"/>
      <c r="L11" s="19"/>
    </row>
    <row r="12" spans="1:12" ht="20.100000000000001" customHeight="1">
      <c r="A12" s="17"/>
      <c r="B12" s="18"/>
      <c r="C12" s="83"/>
      <c r="D12" s="83"/>
      <c r="E12" s="83"/>
      <c r="F12" s="83"/>
      <c r="G12" s="83"/>
      <c r="H12" s="83"/>
      <c r="I12" s="83"/>
      <c r="J12" s="83"/>
      <c r="K12" s="19"/>
      <c r="L12" s="19"/>
    </row>
    <row r="13" spans="1:12" ht="20.100000000000001" customHeight="1">
      <c r="A13" s="17"/>
      <c r="B13" s="57"/>
      <c r="C13" s="83"/>
      <c r="D13" s="83"/>
      <c r="E13" s="83"/>
      <c r="F13" s="83"/>
      <c r="G13" s="83"/>
      <c r="H13" s="83"/>
      <c r="I13" s="83"/>
      <c r="J13" s="83"/>
      <c r="K13" s="19"/>
      <c r="L13" s="19"/>
    </row>
    <row r="14" spans="1:12" ht="20.100000000000001" customHeight="1">
      <c r="A14" s="17"/>
      <c r="B14" s="20"/>
      <c r="C14" s="83"/>
      <c r="D14" s="83"/>
      <c r="E14" s="83"/>
      <c r="F14" s="83"/>
      <c r="G14" s="83"/>
      <c r="H14" s="83"/>
      <c r="I14" s="83"/>
      <c r="J14" s="83"/>
      <c r="K14" s="19"/>
      <c r="L14" s="19"/>
    </row>
    <row r="15" spans="1:12" ht="20.100000000000001" customHeight="1">
      <c r="A15" s="17"/>
      <c r="B15" s="19"/>
      <c r="C15" s="83"/>
      <c r="D15" s="83"/>
      <c r="E15" s="83"/>
      <c r="F15" s="83"/>
      <c r="G15" s="83"/>
      <c r="H15" s="83"/>
      <c r="I15" s="83"/>
      <c r="J15" s="83"/>
      <c r="K15" s="19"/>
      <c r="L15" s="19"/>
    </row>
    <row r="16" spans="1:12" ht="20.100000000000001" customHeight="1">
      <c r="A16" s="17"/>
      <c r="B16" s="19"/>
      <c r="C16" s="83"/>
      <c r="D16" s="83"/>
      <c r="E16" s="83"/>
      <c r="F16" s="83"/>
      <c r="G16" s="83"/>
      <c r="H16" s="83"/>
      <c r="I16" s="83"/>
      <c r="J16" s="83"/>
      <c r="K16" s="19"/>
      <c r="L16" s="19"/>
    </row>
    <row r="17" spans="1:12" ht="20.100000000000001" customHeight="1">
      <c r="A17" s="17"/>
      <c r="B17" s="19"/>
      <c r="C17" s="83"/>
      <c r="D17" s="83"/>
      <c r="E17" s="83"/>
      <c r="F17" s="83"/>
      <c r="G17" s="83"/>
      <c r="H17" s="83"/>
      <c r="I17" s="83"/>
      <c r="J17" s="83"/>
      <c r="K17" s="19"/>
      <c r="L17" s="19"/>
    </row>
    <row r="18" spans="1:12" ht="20.100000000000001" customHeight="1">
      <c r="A18" s="17"/>
      <c r="B18" s="19"/>
      <c r="C18" s="83"/>
      <c r="D18" s="83"/>
      <c r="E18" s="83"/>
      <c r="F18" s="83"/>
      <c r="G18" s="83"/>
      <c r="H18" s="83"/>
      <c r="I18" s="83"/>
      <c r="J18" s="83"/>
      <c r="K18" s="19"/>
      <c r="L18" s="19"/>
    </row>
    <row r="19" spans="1:12" ht="20.100000000000001" customHeight="1">
      <c r="A19" s="17"/>
      <c r="B19" s="19"/>
      <c r="C19" s="83"/>
      <c r="D19" s="83"/>
      <c r="E19" s="83"/>
      <c r="F19" s="83"/>
      <c r="G19" s="83"/>
      <c r="H19" s="83"/>
      <c r="I19" s="83"/>
      <c r="J19" s="83"/>
      <c r="K19" s="19"/>
      <c r="L19" s="19"/>
    </row>
    <row r="20" spans="1:12" ht="20.100000000000001" customHeight="1">
      <c r="A20" s="17"/>
      <c r="B20" s="19"/>
      <c r="C20" s="83"/>
      <c r="D20" s="83"/>
      <c r="E20" s="83"/>
      <c r="F20" s="83"/>
      <c r="G20" s="83"/>
      <c r="H20" s="83"/>
      <c r="I20" s="83"/>
      <c r="J20" s="83"/>
      <c r="K20" s="19"/>
      <c r="L20" s="19"/>
    </row>
    <row r="21" spans="1:12" ht="20.100000000000001" customHeight="1">
      <c r="A21" s="17"/>
      <c r="B21" s="19"/>
      <c r="C21" s="83"/>
      <c r="D21" s="83"/>
      <c r="E21" s="83"/>
      <c r="F21" s="83"/>
      <c r="G21" s="83"/>
      <c r="H21" s="83"/>
      <c r="I21" s="83"/>
      <c r="J21" s="83"/>
      <c r="K21" s="19"/>
      <c r="L21" s="19"/>
    </row>
    <row r="22" spans="1:12" ht="20.100000000000001" customHeight="1">
      <c r="A22" s="17"/>
      <c r="B22" s="19"/>
      <c r="C22" s="21"/>
      <c r="D22" s="21"/>
      <c r="E22" s="21"/>
      <c r="F22" s="21"/>
      <c r="G22" s="21"/>
      <c r="H22" s="21"/>
      <c r="I22" s="21"/>
      <c r="J22" s="21"/>
      <c r="K22" s="19"/>
      <c r="L22" s="19"/>
    </row>
    <row r="23" spans="1:12" ht="20.100000000000001" customHeight="1">
      <c r="A23" s="17"/>
      <c r="B23" s="19"/>
      <c r="C23" s="21"/>
      <c r="D23" s="21"/>
      <c r="E23" s="21"/>
      <c r="F23" s="21"/>
      <c r="G23" s="21"/>
      <c r="H23" s="21"/>
      <c r="I23" s="21"/>
      <c r="J23" s="21"/>
      <c r="K23" s="19"/>
      <c r="L23" s="19"/>
    </row>
    <row r="24" spans="1:12" ht="20.100000000000001" customHeight="1">
      <c r="A24" s="22"/>
    </row>
    <row r="25" spans="1:12" ht="20.100000000000001" customHeight="1">
      <c r="A25" s="22"/>
    </row>
    <row r="26" spans="1:12" ht="20.100000000000001" customHeight="1">
      <c r="A26" s="22"/>
    </row>
    <row r="27" spans="1:12" ht="20.100000000000001" customHeight="1">
      <c r="A27" s="22"/>
    </row>
    <row r="28" spans="1:12" ht="20.100000000000001" customHeight="1">
      <c r="A28" s="22"/>
    </row>
    <row r="29" spans="1:12" ht="20.100000000000001" customHeight="1">
      <c r="A29" s="22"/>
    </row>
    <row r="30" spans="1:12" ht="20.100000000000001" customHeight="1">
      <c r="A30" s="22"/>
    </row>
    <row r="31" spans="1:12" ht="20.100000000000001" customHeight="1">
      <c r="A31" s="22"/>
    </row>
    <row r="32" spans="1:12" ht="20.100000000000001" customHeight="1">
      <c r="A32" s="22"/>
    </row>
    <row r="33" spans="1:1" ht="20.100000000000001" customHeight="1">
      <c r="A33" s="22"/>
    </row>
    <row r="34" spans="1:1" ht="20.100000000000001" customHeight="1">
      <c r="A34" s="22"/>
    </row>
    <row r="35" spans="1:1" ht="20.100000000000001" customHeight="1">
      <c r="A35" s="22"/>
    </row>
    <row r="36" spans="1:1" ht="20.100000000000001" customHeight="1">
      <c r="A36" s="22"/>
    </row>
    <row r="37" spans="1:1" ht="20.100000000000001" customHeight="1">
      <c r="A37" s="22"/>
    </row>
    <row r="38" spans="1:1" ht="20.100000000000001" customHeight="1">
      <c r="A38" s="22"/>
    </row>
    <row r="39" spans="1:1" ht="20.100000000000001" customHeight="1">
      <c r="A39" s="22"/>
    </row>
    <row r="40" spans="1:1" ht="20.100000000000001" customHeight="1">
      <c r="A40" s="22"/>
    </row>
    <row r="41" spans="1:1" ht="20.100000000000001" customHeight="1">
      <c r="A41" s="22"/>
    </row>
    <row r="42" spans="1:1" ht="20.100000000000001" customHeight="1">
      <c r="A42" s="22"/>
    </row>
    <row r="43" spans="1:1" ht="20.100000000000001" customHeight="1">
      <c r="A43" s="22"/>
    </row>
    <row r="44" spans="1:1" ht="20.100000000000001" customHeight="1">
      <c r="A44" s="22"/>
    </row>
    <row r="45" spans="1:1" ht="20.100000000000001" customHeight="1">
      <c r="A45" s="22"/>
    </row>
    <row r="46" spans="1:1" ht="20.100000000000001" customHeight="1">
      <c r="A46" s="22"/>
    </row>
    <row r="47" spans="1:1" ht="20.100000000000001" customHeight="1">
      <c r="A47" s="22"/>
    </row>
    <row r="48" spans="1:1" ht="20.100000000000001" customHeight="1">
      <c r="A48" s="22"/>
    </row>
  </sheetData>
  <customSheetViews>
    <customSheetView guid="{2940EC69-0E40-4162-8549-ED35AA338A49}" scale="85" showGridLines="0">
      <selection activeCell="L13" sqref="L13"/>
      <pageMargins left="0.23597222566604614" right="0.23597222566604614" top="0.74750000238418579" bottom="0.74750000238418579" header="0.31486111879348755" footer="0.31486111879348755"/>
      <printOptions horizontalCentered="1"/>
      <pageSetup paperSize="9" orientation="landscape" verticalDpi="0" r:id="rId1"/>
    </customSheetView>
    <customSheetView guid="{795AB5AE-C53F-4700-AA4F-485409291E6B}" scale="85" showGridLines="0">
      <selection activeCell="L13" sqref="L13"/>
      <pageMargins left="0.23597222566604614" right="0.23597222566604614" top="0.74750000238418579" bottom="0.74750000238418579" header="0.31486111879348755" footer="0.31486111879348755"/>
      <printOptions horizontalCentered="1"/>
      <pageSetup paperSize="9" orientation="landscape" verticalDpi="0" r:id="rId2"/>
    </customSheetView>
    <customSheetView guid="{C0B3E00A-6A64-4A32-8796-BF55C9AAD4EA}" scale="85" showGridLines="0">
      <pageMargins left="0.23597222566604614" right="0.23597222566604614" top="0.74750000238418579" bottom="0.74750000238418579" header="0.31486111879348755" footer="0.31486111879348755"/>
      <printOptions horizontalCentered="1"/>
      <pageSetup paperSize="9" orientation="landscape" verticalDpi="0" r:id="rId3"/>
    </customSheetView>
    <customSheetView guid="{EB4CA770-1436-4E3D-889F-30E34BABACCC}" scale="85" showGridLines="0">
      <selection activeCell="L13" sqref="L13"/>
      <pageMargins left="0.23597222566604614" right="0.23597222566604614" top="0.74750000238418579" bottom="0.74750000238418579" header="0.31486111879348755" footer="0.31486111879348755"/>
      <printOptions horizontalCentered="1"/>
      <pageSetup paperSize="9" orientation="landscape" verticalDpi="0" r:id="rId4"/>
    </customSheetView>
    <customSheetView guid="{2A8CFD2D-F9CC-4306-8A26-A82C68617360}" scale="85" showGridLines="0">
      <selection activeCell="B14" sqref="B14"/>
      <pageMargins left="0.23597222566604614" right="0.23597222566604614" top="0.74750000238418579" bottom="0.74750000238418579" header="0.31486111879348755" footer="0.31486111879348755"/>
      <printOptions horizontalCentered="1"/>
      <pageSetup paperSize="9" orientation="landscape" verticalDpi="0" r:id="rId5"/>
    </customSheetView>
    <customSheetView guid="{70346E6A-FAEE-4C37-A89C-D6DC7354E054}" scale="85" showGridLines="0">
      <selection activeCell="L13" sqref="L13"/>
      <pageMargins left="0.23597222566604614" right="0.23597222566604614" top="0.74750000238418579" bottom="0.74750000238418579" header="0.31486111879348755" footer="0.31486111879348755"/>
      <printOptions horizontalCentered="1"/>
      <pageSetup paperSize="9" orientation="landscape" verticalDpi="0" r:id="rId6"/>
    </customSheetView>
  </customSheetViews>
  <mergeCells count="20">
    <mergeCell ref="C20:J20"/>
    <mergeCell ref="C21:J21"/>
    <mergeCell ref="C14:J14"/>
    <mergeCell ref="C15:J15"/>
    <mergeCell ref="C16:J16"/>
    <mergeCell ref="C17:J17"/>
    <mergeCell ref="C18:J18"/>
    <mergeCell ref="C19:J19"/>
    <mergeCell ref="C13:J13"/>
    <mergeCell ref="C2:J2"/>
    <mergeCell ref="C3:J3"/>
    <mergeCell ref="C4:J4"/>
    <mergeCell ref="C5:J5"/>
    <mergeCell ref="C6:J6"/>
    <mergeCell ref="C7:J7"/>
    <mergeCell ref="C8:J8"/>
    <mergeCell ref="C9:J9"/>
    <mergeCell ref="C10:J10"/>
    <mergeCell ref="C11:J11"/>
    <mergeCell ref="C12:J12"/>
  </mergeCells>
  <phoneticPr fontId="13" type="noConversion"/>
  <printOptions horizontalCentered="1"/>
  <pageMargins left="0.23597222566604614" right="0.23597222566604614" top="0.74750000238418579" bottom="0.74750000238418579" header="0.31486111879348755" footer="0.31486111879348755"/>
  <pageSetup paperSize="9" orientation="landscape" verticalDpi="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Q1"/>
  <sheetViews>
    <sheetView showGridLines="0" zoomScale="85" zoomScaleNormal="85" zoomScaleSheetLayoutView="75" workbookViewId="0">
      <pane ySplit="1" topLeftCell="A2" activePane="bottomLeft" state="frozen"/>
      <selection pane="bottomLeft" activeCell="I24" sqref="I24"/>
    </sheetView>
  </sheetViews>
  <sheetFormatPr defaultColWidth="9" defaultRowHeight="16.5"/>
  <cols>
    <col min="1" max="1" width="5.625" customWidth="1"/>
    <col min="2" max="4" width="15.625" style="60" customWidth="1"/>
    <col min="5" max="5" width="20.625" style="61" customWidth="1"/>
    <col min="6" max="6" width="15.625" style="61" customWidth="1"/>
    <col min="7" max="9" width="15.625" style="60" customWidth="1"/>
    <col min="10" max="10" width="10.625" style="60" customWidth="1"/>
    <col min="11" max="13" width="15.625" style="60" customWidth="1"/>
    <col min="14" max="14" width="30.625" style="60" customWidth="1"/>
    <col min="15" max="17" width="10.625" style="60" customWidth="1"/>
  </cols>
  <sheetData>
    <row r="1" spans="1:17" s="75" customFormat="1" ht="30" customHeight="1">
      <c r="A1" s="71" t="s">
        <v>1399</v>
      </c>
      <c r="B1" s="71" t="s">
        <v>1400</v>
      </c>
      <c r="C1" s="72" t="s">
        <v>1410</v>
      </c>
      <c r="D1" s="72" t="s">
        <v>1411</v>
      </c>
      <c r="E1" s="73" t="s">
        <v>1412</v>
      </c>
      <c r="F1" s="73" t="s">
        <v>1413</v>
      </c>
      <c r="G1" s="73" t="s">
        <v>1414</v>
      </c>
      <c r="H1" s="73" t="s">
        <v>1415</v>
      </c>
      <c r="I1" s="73" t="s">
        <v>1416</v>
      </c>
      <c r="J1" s="73" t="s">
        <v>1417</v>
      </c>
      <c r="K1" s="73" t="s">
        <v>1418</v>
      </c>
      <c r="L1" s="73" t="s">
        <v>1419</v>
      </c>
      <c r="M1" s="73" t="s">
        <v>1420</v>
      </c>
      <c r="N1" s="73" t="s">
        <v>1422</v>
      </c>
      <c r="O1" s="73" t="s">
        <v>1423</v>
      </c>
      <c r="P1" s="73" t="s">
        <v>1424</v>
      </c>
      <c r="Q1" s="74" t="s">
        <v>1425</v>
      </c>
    </row>
  </sheetData>
  <customSheetViews>
    <customSheetView guid="{2940EC69-0E40-4162-8549-ED35AA338A49}" scale="85" showGridLines="0" fitToPage="1">
      <pane ySplit="1" topLeftCell="A2" activePane="bottomLeft" state="frozen"/>
      <selection pane="bottomLeft" sqref="A1:A2"/>
      <pageMargins left="0.69972223043441772" right="0.69972223043441772" top="0.75" bottom="0.75" header="0.30000001192092896" footer="0.30000001192092896"/>
      <pageSetup paperSize="9" scale="35" fitToHeight="0" orientation="landscape" r:id="rId1"/>
    </customSheetView>
    <customSheetView guid="{795AB5AE-C53F-4700-AA4F-485409291E6B}" scale="85" showGridLines="0" fitToPage="1" showAutoFilter="1" topLeftCell="A231">
      <selection activeCell="K243" sqref="K243"/>
      <pageMargins left="0.69972223043441772" right="0.69972223043441772" top="0.75" bottom="0.75" header="0.30000001192092896" footer="0.30000001192092896"/>
      <pageSetup paperSize="9" scale="35" fitToHeight="0" orientation="landscape" r:id="rId2"/>
      <autoFilter ref="A1:L377"/>
    </customSheetView>
    <customSheetView guid="{C0B3E00A-6A64-4A32-8796-BF55C9AAD4EA}" scale="85" showGridLines="0" fitToPage="1" showAutoFilter="1" hiddenColumns="1">
      <pane ySplit="1" topLeftCell="A2" activePane="bottomLeft" state="frozen"/>
      <selection pane="bottomLeft"/>
      <pageMargins left="0.69972223043441772" right="0.69972223043441772" top="0.75" bottom="0.75" header="0.30000001192092896" footer="0.30000001192092896"/>
      <pageSetup paperSize="9" scale="35" fitToHeight="0" orientation="landscape" r:id="rId3"/>
      <autoFilter ref="A1:L377"/>
    </customSheetView>
    <customSheetView guid="{EB4CA770-1436-4E3D-889F-30E34BABACCC}" scale="85" showGridLines="0" fitToPage="1" showAutoFilter="1">
      <pane ySplit="1" topLeftCell="A341" activePane="bottomLeft" state="frozen"/>
      <selection pane="bottomLeft" activeCell="I346" sqref="I346"/>
      <pageMargins left="0.69972223043441772" right="0.69972223043441772" top="0.75" bottom="0.75" header="0.30000001192092896" footer="0.30000001192092896"/>
      <pageSetup paperSize="9" scale="35" fitToHeight="0" orientation="landscape" r:id="rId4"/>
      <autoFilter ref="A1:L377"/>
    </customSheetView>
    <customSheetView guid="{2A8CFD2D-F9CC-4306-8A26-A82C68617360}" scale="85" showGridLines="0" fitToPage="1" showAutoFilter="1">
      <pane ySplit="1" topLeftCell="A2" activePane="bottomLeft" state="frozen"/>
      <selection pane="bottomLeft"/>
      <pageMargins left="0.69972223043441772" right="0.69972223043441772" top="0.75" bottom="0.75" header="0.30000001192092896" footer="0.30000001192092896"/>
      <pageSetup paperSize="9" scale="35" fitToHeight="0" orientation="landscape" r:id="rId5"/>
      <autoFilter ref="A1:L377"/>
    </customSheetView>
    <customSheetView guid="{70346E6A-FAEE-4C37-A89C-D6DC7354E054}" scale="85" showGridLines="0" fitToPage="1" showAutoFilter="1">
      <pane ySplit="376" topLeftCell="A378" activePane="bottomLeft" state="frozen"/>
      <selection pane="bottomLeft"/>
      <pageMargins left="0.69972223043441772" right="0.69972223043441772" top="0.75" bottom="0.75" header="0.30000001192092896" footer="0.30000001192092896"/>
      <pageSetup paperSize="9" scale="35" fitToHeight="0" orientation="landscape" r:id="rId6"/>
      <autoFilter ref="A1:L377"/>
    </customSheetView>
  </customSheetViews>
  <phoneticPr fontId="13" type="noConversion"/>
  <pageMargins left="0.69972223043441772" right="0.69972223043441772" top="0.75" bottom="0.75" header="0.30000001192092896" footer="0.30000001192092896"/>
  <pageSetup paperSize="9" scale="35" fitToHeight="0" orientation="landscape"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27"/>
  <sheetViews>
    <sheetView showGridLines="0" zoomScale="85" zoomScaleNormal="85" workbookViewId="0"/>
  </sheetViews>
  <sheetFormatPr defaultRowHeight="13.5"/>
  <cols>
    <col min="1" max="2" width="15.625" style="59" customWidth="1"/>
    <col min="3" max="3" width="71.625" style="58" customWidth="1"/>
    <col min="4" max="16384" width="9" style="58"/>
  </cols>
  <sheetData>
    <row r="1" spans="1:3" ht="30" customHeight="1">
      <c r="A1" s="56" t="s">
        <v>1402</v>
      </c>
      <c r="B1" s="56" t="s">
        <v>1403</v>
      </c>
      <c r="C1" s="56" t="s">
        <v>1404</v>
      </c>
    </row>
    <row r="2" spans="1:3">
      <c r="A2" s="85" t="s">
        <v>1407</v>
      </c>
      <c r="B2" s="62" t="s">
        <v>1401</v>
      </c>
      <c r="C2" s="63" t="s">
        <v>1426</v>
      </c>
    </row>
    <row r="3" spans="1:3" ht="27">
      <c r="A3" s="86"/>
      <c r="B3" s="62" t="s">
        <v>1427</v>
      </c>
      <c r="C3" s="63" t="s">
        <v>1428</v>
      </c>
    </row>
    <row r="4" spans="1:3">
      <c r="A4" s="86"/>
      <c r="B4" s="62" t="s">
        <v>1429</v>
      </c>
      <c r="C4" s="63" t="s">
        <v>1430</v>
      </c>
    </row>
    <row r="5" spans="1:3">
      <c r="A5" s="86"/>
      <c r="B5" s="62" t="s">
        <v>1431</v>
      </c>
      <c r="C5" s="63" t="s">
        <v>1432</v>
      </c>
    </row>
    <row r="6" spans="1:3">
      <c r="A6" s="86"/>
      <c r="B6" s="88" t="s">
        <v>1433</v>
      </c>
      <c r="C6" s="64" t="s">
        <v>1434</v>
      </c>
    </row>
    <row r="7" spans="1:3">
      <c r="A7" s="86"/>
      <c r="B7" s="89"/>
      <c r="C7" s="65" t="s">
        <v>1435</v>
      </c>
    </row>
    <row r="8" spans="1:3">
      <c r="A8" s="86"/>
      <c r="B8" s="88" t="s">
        <v>1436</v>
      </c>
      <c r="C8" s="64" t="s">
        <v>1437</v>
      </c>
    </row>
    <row r="9" spans="1:3">
      <c r="A9" s="86"/>
      <c r="B9" s="89"/>
      <c r="C9" s="65" t="s">
        <v>1438</v>
      </c>
    </row>
    <row r="10" spans="1:3">
      <c r="A10" s="86"/>
      <c r="B10" s="62" t="s">
        <v>1439</v>
      </c>
      <c r="C10" s="63" t="s">
        <v>1440</v>
      </c>
    </row>
    <row r="11" spans="1:3">
      <c r="A11" s="86"/>
      <c r="B11" s="88" t="s">
        <v>1441</v>
      </c>
      <c r="C11" s="64" t="s">
        <v>1442</v>
      </c>
    </row>
    <row r="12" spans="1:3" ht="40.5">
      <c r="A12" s="86"/>
      <c r="B12" s="89"/>
      <c r="C12" s="65" t="s">
        <v>1443</v>
      </c>
    </row>
    <row r="13" spans="1:3">
      <c r="A13" s="86"/>
      <c r="B13" s="88" t="s">
        <v>1444</v>
      </c>
      <c r="C13" s="64" t="s">
        <v>1445</v>
      </c>
    </row>
    <row r="14" spans="1:3">
      <c r="A14" s="86"/>
      <c r="B14" s="89"/>
      <c r="C14" s="65" t="s">
        <v>1446</v>
      </c>
    </row>
    <row r="15" spans="1:3" ht="27">
      <c r="A15" s="86"/>
      <c r="B15" s="66" t="s">
        <v>1447</v>
      </c>
      <c r="C15" s="64" t="s">
        <v>1449</v>
      </c>
    </row>
    <row r="16" spans="1:3" ht="27">
      <c r="A16" s="86"/>
      <c r="B16" s="67" t="s">
        <v>1448</v>
      </c>
      <c r="C16" s="65" t="s">
        <v>1450</v>
      </c>
    </row>
    <row r="17" spans="1:3" ht="27">
      <c r="A17" s="86"/>
      <c r="B17" s="66" t="s">
        <v>1451</v>
      </c>
      <c r="C17" s="64" t="s">
        <v>1453</v>
      </c>
    </row>
    <row r="18" spans="1:3" ht="27">
      <c r="A18" s="86"/>
      <c r="B18" s="67" t="s">
        <v>1452</v>
      </c>
      <c r="C18" s="65" t="s">
        <v>1454</v>
      </c>
    </row>
    <row r="19" spans="1:3" ht="27">
      <c r="A19" s="86"/>
      <c r="B19" s="66" t="s">
        <v>1455</v>
      </c>
      <c r="C19" s="64" t="s">
        <v>1457</v>
      </c>
    </row>
    <row r="20" spans="1:3">
      <c r="A20" s="86"/>
      <c r="B20" s="68" t="s">
        <v>1456</v>
      </c>
      <c r="C20" s="69" t="s">
        <v>1458</v>
      </c>
    </row>
    <row r="21" spans="1:3">
      <c r="A21" s="86"/>
      <c r="B21" s="70"/>
      <c r="C21" s="65" t="s">
        <v>1459</v>
      </c>
    </row>
    <row r="22" spans="1:3" ht="27">
      <c r="A22" s="86"/>
      <c r="B22" s="62" t="s">
        <v>1421</v>
      </c>
      <c r="C22" s="63" t="s">
        <v>1460</v>
      </c>
    </row>
    <row r="23" spans="1:3">
      <c r="A23" s="86"/>
      <c r="B23" s="62" t="s">
        <v>1461</v>
      </c>
      <c r="C23" s="63" t="s">
        <v>1462</v>
      </c>
    </row>
    <row r="24" spans="1:3">
      <c r="A24" s="86"/>
      <c r="B24" s="62" t="s">
        <v>1463</v>
      </c>
      <c r="C24" s="63" t="s">
        <v>1464</v>
      </c>
    </row>
    <row r="25" spans="1:3" ht="27">
      <c r="A25" s="87"/>
      <c r="B25" s="62" t="s">
        <v>1465</v>
      </c>
      <c r="C25" s="63" t="s">
        <v>1466</v>
      </c>
    </row>
    <row r="26" spans="1:3">
      <c r="A26" s="59" t="s">
        <v>1405</v>
      </c>
    </row>
    <row r="27" spans="1:3">
      <c r="A27" s="59" t="s">
        <v>1406</v>
      </c>
    </row>
  </sheetData>
  <mergeCells count="5">
    <mergeCell ref="A2:A25"/>
    <mergeCell ref="B6:B7"/>
    <mergeCell ref="B8:B9"/>
    <mergeCell ref="B11:B12"/>
    <mergeCell ref="B13:B14"/>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77"/>
  <sheetViews>
    <sheetView showGridLines="0" zoomScale="85" zoomScaleNormal="85" zoomScaleSheetLayoutView="75" workbookViewId="0">
      <pane ySplit="1" topLeftCell="A222" activePane="bottomLeft" state="frozen"/>
      <selection pane="bottomLeft" activeCell="D234" sqref="D234"/>
    </sheetView>
  </sheetViews>
  <sheetFormatPr defaultColWidth="9" defaultRowHeight="16.5"/>
  <cols>
    <col min="1" max="1" width="5.625" customWidth="1"/>
    <col min="2" max="3" width="10.625" customWidth="1"/>
    <col min="4" max="4" width="50.625" style="50" customWidth="1"/>
  </cols>
  <sheetData>
    <row r="1" spans="1:4" s="8" customFormat="1" ht="30" customHeight="1">
      <c r="A1" s="7" t="s">
        <v>132</v>
      </c>
      <c r="B1" s="7" t="s">
        <v>134</v>
      </c>
      <c r="C1" s="9" t="s">
        <v>1397</v>
      </c>
      <c r="D1" s="48" t="s">
        <v>1380</v>
      </c>
    </row>
    <row r="2" spans="1:4">
      <c r="A2" s="1">
        <v>1</v>
      </c>
      <c r="B2" s="1" t="s">
        <v>146</v>
      </c>
      <c r="C2" s="1" t="s">
        <v>950</v>
      </c>
      <c r="D2" s="46"/>
    </row>
    <row r="3" spans="1:4">
      <c r="A3" s="1">
        <v>2</v>
      </c>
      <c r="B3" s="1" t="s">
        <v>146</v>
      </c>
      <c r="C3" s="1" t="s">
        <v>953</v>
      </c>
      <c r="D3" s="46"/>
    </row>
    <row r="4" spans="1:4">
      <c r="A4" s="1">
        <v>3</v>
      </c>
      <c r="B4" s="1" t="s">
        <v>146</v>
      </c>
      <c r="C4" s="1" t="s">
        <v>954</v>
      </c>
      <c r="D4" s="46"/>
    </row>
    <row r="5" spans="1:4">
      <c r="A5" s="1">
        <v>4</v>
      </c>
      <c r="B5" s="1" t="s">
        <v>146</v>
      </c>
      <c r="C5" s="1" t="s">
        <v>944</v>
      </c>
      <c r="D5" s="46"/>
    </row>
    <row r="6" spans="1:4">
      <c r="A6" s="1">
        <v>5</v>
      </c>
      <c r="B6" s="1" t="s">
        <v>146</v>
      </c>
      <c r="C6" s="1" t="s">
        <v>969</v>
      </c>
      <c r="D6" s="46"/>
    </row>
    <row r="7" spans="1:4">
      <c r="A7" s="1">
        <v>6</v>
      </c>
      <c r="B7" s="1" t="s">
        <v>146</v>
      </c>
      <c r="C7" s="1" t="s">
        <v>959</v>
      </c>
      <c r="D7" s="46"/>
    </row>
    <row r="8" spans="1:4">
      <c r="A8" s="1">
        <v>7</v>
      </c>
      <c r="B8" s="1" t="s">
        <v>146</v>
      </c>
      <c r="C8" s="1" t="s">
        <v>951</v>
      </c>
      <c r="D8" s="46"/>
    </row>
    <row r="9" spans="1:4">
      <c r="A9" s="1">
        <v>8</v>
      </c>
      <c r="B9" s="1" t="s">
        <v>146</v>
      </c>
      <c r="C9" s="1" t="s">
        <v>955</v>
      </c>
      <c r="D9" s="46"/>
    </row>
    <row r="10" spans="1:4">
      <c r="A10" s="1">
        <v>9</v>
      </c>
      <c r="B10" s="1" t="s">
        <v>146</v>
      </c>
      <c r="C10" s="1" t="s">
        <v>966</v>
      </c>
      <c r="D10" s="46"/>
    </row>
    <row r="11" spans="1:4">
      <c r="A11" s="1">
        <v>10</v>
      </c>
      <c r="B11" s="1" t="s">
        <v>146</v>
      </c>
      <c r="C11" s="1" t="s">
        <v>967</v>
      </c>
      <c r="D11" s="46"/>
    </row>
    <row r="12" spans="1:4">
      <c r="A12" s="1">
        <v>11</v>
      </c>
      <c r="B12" s="1" t="s">
        <v>146</v>
      </c>
      <c r="C12" s="1" t="s">
        <v>968</v>
      </c>
      <c r="D12" s="46"/>
    </row>
    <row r="13" spans="1:4">
      <c r="A13" s="1">
        <v>12</v>
      </c>
      <c r="B13" s="1" t="s">
        <v>146</v>
      </c>
      <c r="C13" s="1" t="s">
        <v>957</v>
      </c>
      <c r="D13" s="46"/>
    </row>
    <row r="14" spans="1:4">
      <c r="A14" s="1">
        <v>13</v>
      </c>
      <c r="B14" s="1" t="s">
        <v>146</v>
      </c>
      <c r="C14" s="1" t="s">
        <v>952</v>
      </c>
      <c r="D14" s="46"/>
    </row>
    <row r="15" spans="1:4">
      <c r="A15" s="1">
        <v>14</v>
      </c>
      <c r="B15" s="1" t="s">
        <v>146</v>
      </c>
      <c r="C15" s="1" t="s">
        <v>964</v>
      </c>
      <c r="D15" s="46"/>
    </row>
    <row r="16" spans="1:4">
      <c r="A16" s="1">
        <v>15</v>
      </c>
      <c r="B16" s="1" t="s">
        <v>146</v>
      </c>
      <c r="C16" s="1" t="s">
        <v>928</v>
      </c>
      <c r="D16" s="46"/>
    </row>
    <row r="17" spans="1:4">
      <c r="A17" s="1">
        <v>16</v>
      </c>
      <c r="B17" s="1" t="s">
        <v>146</v>
      </c>
      <c r="C17" s="1" t="s">
        <v>934</v>
      </c>
      <c r="D17" s="46"/>
    </row>
    <row r="18" spans="1:4">
      <c r="A18" s="1">
        <v>17</v>
      </c>
      <c r="B18" s="1" t="s">
        <v>146</v>
      </c>
      <c r="C18" s="1" t="s">
        <v>984</v>
      </c>
      <c r="D18" s="46"/>
    </row>
    <row r="19" spans="1:4">
      <c r="A19" s="1">
        <v>18</v>
      </c>
      <c r="B19" s="1" t="s">
        <v>146</v>
      </c>
      <c r="C19" s="1" t="s">
        <v>965</v>
      </c>
      <c r="D19" s="46"/>
    </row>
    <row r="20" spans="1:4">
      <c r="A20" s="1">
        <v>19</v>
      </c>
      <c r="B20" s="1" t="s">
        <v>146</v>
      </c>
      <c r="C20" s="1" t="s">
        <v>973</v>
      </c>
      <c r="D20" s="46"/>
    </row>
    <row r="21" spans="1:4">
      <c r="A21" s="1">
        <v>20</v>
      </c>
      <c r="B21" s="1" t="s">
        <v>146</v>
      </c>
      <c r="C21" s="1" t="s">
        <v>981</v>
      </c>
      <c r="D21" s="46"/>
    </row>
    <row r="22" spans="1:4">
      <c r="A22" s="1">
        <v>21</v>
      </c>
      <c r="B22" s="1" t="s">
        <v>146</v>
      </c>
      <c r="C22" s="1" t="s">
        <v>961</v>
      </c>
      <c r="D22" s="46"/>
    </row>
    <row r="23" spans="1:4">
      <c r="A23" s="1">
        <v>22</v>
      </c>
      <c r="B23" s="1" t="s">
        <v>146</v>
      </c>
      <c r="C23" s="1" t="s">
        <v>980</v>
      </c>
      <c r="D23" s="46"/>
    </row>
    <row r="24" spans="1:4">
      <c r="A24" s="1">
        <v>23</v>
      </c>
      <c r="B24" s="1" t="s">
        <v>146</v>
      </c>
      <c r="C24" s="1" t="s">
        <v>979</v>
      </c>
      <c r="D24" s="46"/>
    </row>
    <row r="25" spans="1:4">
      <c r="A25" s="1">
        <v>24</v>
      </c>
      <c r="B25" s="1" t="s">
        <v>146</v>
      </c>
      <c r="C25" s="1" t="s">
        <v>963</v>
      </c>
      <c r="D25" s="46"/>
    </row>
    <row r="26" spans="1:4">
      <c r="A26" s="1">
        <v>25</v>
      </c>
      <c r="B26" s="1" t="s">
        <v>146</v>
      </c>
      <c r="C26" s="1" t="s">
        <v>958</v>
      </c>
      <c r="D26" s="46"/>
    </row>
    <row r="27" spans="1:4">
      <c r="A27" s="1">
        <v>26</v>
      </c>
      <c r="B27" s="1" t="s">
        <v>146</v>
      </c>
      <c r="C27" s="1" t="s">
        <v>971</v>
      </c>
      <c r="D27" s="46"/>
    </row>
    <row r="28" spans="1:4">
      <c r="A28" s="1">
        <v>27</v>
      </c>
      <c r="B28" s="1" t="s">
        <v>146</v>
      </c>
      <c r="C28" s="1" t="s">
        <v>947</v>
      </c>
      <c r="D28" s="46"/>
    </row>
    <row r="29" spans="1:4">
      <c r="A29" s="1">
        <v>28</v>
      </c>
      <c r="B29" s="1" t="s">
        <v>146</v>
      </c>
      <c r="C29" s="1" t="s">
        <v>970</v>
      </c>
      <c r="D29" s="46"/>
    </row>
    <row r="30" spans="1:4">
      <c r="A30" s="1">
        <v>29</v>
      </c>
      <c r="B30" s="1" t="s">
        <v>146</v>
      </c>
      <c r="C30" s="1" t="s">
        <v>949</v>
      </c>
      <c r="D30" s="46"/>
    </row>
    <row r="31" spans="1:4" ht="40.5">
      <c r="A31" s="1">
        <v>30</v>
      </c>
      <c r="B31" s="1" t="s">
        <v>146</v>
      </c>
      <c r="C31" s="1" t="s">
        <v>942</v>
      </c>
      <c r="D31" s="46" t="s">
        <v>1190</v>
      </c>
    </row>
    <row r="32" spans="1:4" ht="27">
      <c r="A32" s="1">
        <v>31</v>
      </c>
      <c r="B32" s="1" t="s">
        <v>146</v>
      </c>
      <c r="C32" s="1" t="s">
        <v>978</v>
      </c>
      <c r="D32" s="46" t="s">
        <v>1267</v>
      </c>
    </row>
    <row r="33" spans="1:4" ht="40.5">
      <c r="A33" s="1">
        <v>32</v>
      </c>
      <c r="B33" s="1" t="s">
        <v>146</v>
      </c>
      <c r="C33" s="1" t="s">
        <v>946</v>
      </c>
      <c r="D33" s="46" t="s">
        <v>1266</v>
      </c>
    </row>
    <row r="34" spans="1:4" ht="40.5">
      <c r="A34" s="1">
        <v>33</v>
      </c>
      <c r="B34" s="1" t="s">
        <v>146</v>
      </c>
      <c r="C34" s="1" t="s">
        <v>983</v>
      </c>
      <c r="D34" s="46" t="s">
        <v>1266</v>
      </c>
    </row>
    <row r="35" spans="1:4" ht="40.5">
      <c r="A35" s="1">
        <v>34</v>
      </c>
      <c r="B35" s="1" t="s">
        <v>146</v>
      </c>
      <c r="C35" s="1" t="s">
        <v>960</v>
      </c>
      <c r="D35" s="46" t="s">
        <v>1268</v>
      </c>
    </row>
    <row r="36" spans="1:4">
      <c r="A36" s="1">
        <v>35</v>
      </c>
      <c r="B36" s="1" t="s">
        <v>146</v>
      </c>
      <c r="C36" s="1" t="s">
        <v>976</v>
      </c>
      <c r="D36" s="46" t="s">
        <v>1224</v>
      </c>
    </row>
    <row r="37" spans="1:4" ht="27">
      <c r="A37" s="1">
        <v>36</v>
      </c>
      <c r="B37" s="1" t="s">
        <v>146</v>
      </c>
      <c r="C37" s="1" t="s">
        <v>994</v>
      </c>
      <c r="D37" s="46" t="s">
        <v>1264</v>
      </c>
    </row>
    <row r="38" spans="1:4">
      <c r="A38" s="1">
        <v>37</v>
      </c>
      <c r="B38" s="1" t="s">
        <v>146</v>
      </c>
      <c r="C38" s="1" t="s">
        <v>988</v>
      </c>
      <c r="D38" s="46"/>
    </row>
    <row r="39" spans="1:4" ht="216">
      <c r="A39" s="1">
        <v>38</v>
      </c>
      <c r="B39" s="1" t="s">
        <v>146</v>
      </c>
      <c r="C39" s="1" t="s">
        <v>999</v>
      </c>
      <c r="D39" s="49" t="s">
        <v>1342</v>
      </c>
    </row>
    <row r="40" spans="1:4" ht="121.5">
      <c r="A40" s="1">
        <v>39</v>
      </c>
      <c r="B40" s="1" t="s">
        <v>146</v>
      </c>
      <c r="C40" s="1" t="s">
        <v>972</v>
      </c>
      <c r="D40" s="46" t="s">
        <v>1343</v>
      </c>
    </row>
    <row r="41" spans="1:4" ht="108">
      <c r="A41" s="1">
        <v>40</v>
      </c>
      <c r="B41" s="1" t="s">
        <v>146</v>
      </c>
      <c r="C41" s="1" t="s">
        <v>962</v>
      </c>
      <c r="D41" s="46" t="s">
        <v>1344</v>
      </c>
    </row>
    <row r="42" spans="1:4" ht="216">
      <c r="A42" s="1">
        <v>41</v>
      </c>
      <c r="B42" s="1" t="s">
        <v>146</v>
      </c>
      <c r="C42" s="1" t="s">
        <v>977</v>
      </c>
      <c r="D42" s="46" t="s">
        <v>1345</v>
      </c>
    </row>
    <row r="43" spans="1:4" ht="67.5">
      <c r="A43" s="1">
        <v>42</v>
      </c>
      <c r="B43" s="1" t="s">
        <v>146</v>
      </c>
      <c r="C43" s="1" t="s">
        <v>693</v>
      </c>
      <c r="D43" s="46" t="s">
        <v>1269</v>
      </c>
    </row>
    <row r="44" spans="1:4" ht="54">
      <c r="A44" s="1">
        <v>43</v>
      </c>
      <c r="B44" s="1" t="s">
        <v>146</v>
      </c>
      <c r="C44" s="1" t="s">
        <v>696</v>
      </c>
      <c r="D44" s="46" t="s">
        <v>1270</v>
      </c>
    </row>
    <row r="45" spans="1:4">
      <c r="A45" s="1">
        <v>44</v>
      </c>
      <c r="B45" s="1" t="s">
        <v>146</v>
      </c>
      <c r="C45" s="1" t="s">
        <v>683</v>
      </c>
      <c r="D45" s="46" t="s">
        <v>1271</v>
      </c>
    </row>
    <row r="46" spans="1:4" ht="81">
      <c r="A46" s="1">
        <v>45</v>
      </c>
      <c r="B46" s="1" t="s">
        <v>146</v>
      </c>
      <c r="C46" s="1" t="s">
        <v>662</v>
      </c>
      <c r="D46" s="46" t="s">
        <v>1272</v>
      </c>
    </row>
    <row r="47" spans="1:4" ht="81">
      <c r="A47" s="1">
        <v>46</v>
      </c>
      <c r="B47" s="1" t="s">
        <v>146</v>
      </c>
      <c r="C47" s="1" t="s">
        <v>684</v>
      </c>
      <c r="D47" s="46" t="s">
        <v>1273</v>
      </c>
    </row>
    <row r="48" spans="1:4" s="44" customFormat="1" ht="40.5">
      <c r="A48" s="45">
        <v>47</v>
      </c>
      <c r="B48" s="45" t="s">
        <v>146</v>
      </c>
      <c r="C48" s="45" t="s">
        <v>982</v>
      </c>
      <c r="D48" s="47" t="s">
        <v>1274</v>
      </c>
    </row>
    <row r="49" spans="1:4" s="44" customFormat="1">
      <c r="A49" s="45">
        <v>48</v>
      </c>
      <c r="B49" s="45" t="s">
        <v>146</v>
      </c>
      <c r="C49" s="45" t="s">
        <v>986</v>
      </c>
      <c r="D49" s="47" t="s">
        <v>1275</v>
      </c>
    </row>
    <row r="50" spans="1:4" s="44" customFormat="1" ht="27">
      <c r="A50" s="45">
        <v>49</v>
      </c>
      <c r="B50" s="45" t="s">
        <v>146</v>
      </c>
      <c r="C50" s="45" t="s">
        <v>987</v>
      </c>
      <c r="D50" s="47" t="s">
        <v>1276</v>
      </c>
    </row>
    <row r="51" spans="1:4" s="44" customFormat="1" ht="67.5">
      <c r="A51" s="45">
        <v>50</v>
      </c>
      <c r="B51" s="45" t="s">
        <v>146</v>
      </c>
      <c r="C51" s="45" t="s">
        <v>996</v>
      </c>
      <c r="D51" s="47" t="s">
        <v>1346</v>
      </c>
    </row>
    <row r="52" spans="1:4" s="44" customFormat="1" ht="81">
      <c r="A52" s="45">
        <v>51</v>
      </c>
      <c r="B52" s="45" t="s">
        <v>146</v>
      </c>
      <c r="C52" s="45" t="s">
        <v>974</v>
      </c>
      <c r="D52" s="47" t="s">
        <v>1379</v>
      </c>
    </row>
    <row r="53" spans="1:4" s="44" customFormat="1" ht="27">
      <c r="A53" s="45">
        <v>52</v>
      </c>
      <c r="B53" s="45" t="s">
        <v>146</v>
      </c>
      <c r="C53" s="45" t="s">
        <v>993</v>
      </c>
      <c r="D53" s="47" t="s">
        <v>1276</v>
      </c>
    </row>
    <row r="54" spans="1:4" s="44" customFormat="1" ht="108">
      <c r="A54" s="45">
        <v>53</v>
      </c>
      <c r="B54" s="45" t="s">
        <v>146</v>
      </c>
      <c r="C54" s="45" t="s">
        <v>1013</v>
      </c>
      <c r="D54" s="47" t="s">
        <v>1347</v>
      </c>
    </row>
    <row r="55" spans="1:4" s="55" customFormat="1">
      <c r="A55" s="53">
        <v>54</v>
      </c>
      <c r="B55" s="53" t="s">
        <v>146</v>
      </c>
      <c r="C55" s="53" t="s">
        <v>975</v>
      </c>
      <c r="D55" s="54" t="s">
        <v>1396</v>
      </c>
    </row>
    <row r="56" spans="1:4" ht="27">
      <c r="A56" s="1">
        <v>55</v>
      </c>
      <c r="B56" s="1" t="s">
        <v>532</v>
      </c>
      <c r="C56" s="1" t="s">
        <v>985</v>
      </c>
      <c r="D56" s="46" t="s">
        <v>1277</v>
      </c>
    </row>
    <row r="57" spans="1:4" ht="27">
      <c r="A57" s="1">
        <v>56</v>
      </c>
      <c r="B57" s="1" t="s">
        <v>532</v>
      </c>
      <c r="C57" s="1" t="s">
        <v>1003</v>
      </c>
      <c r="D57" s="46" t="s">
        <v>1278</v>
      </c>
    </row>
    <row r="58" spans="1:4" ht="81">
      <c r="A58" s="1">
        <v>57</v>
      </c>
      <c r="B58" s="1" t="s">
        <v>532</v>
      </c>
      <c r="C58" s="1" t="s">
        <v>1012</v>
      </c>
      <c r="D58" s="46" t="s">
        <v>1348</v>
      </c>
    </row>
    <row r="59" spans="1:4" ht="121.5">
      <c r="A59" s="1">
        <v>58</v>
      </c>
      <c r="B59" s="1" t="s">
        <v>532</v>
      </c>
      <c r="C59" s="1" t="s">
        <v>1002</v>
      </c>
      <c r="D59" s="46" t="s">
        <v>1279</v>
      </c>
    </row>
    <row r="60" spans="1:4" ht="391.5">
      <c r="A60" s="1">
        <v>59</v>
      </c>
      <c r="B60" s="1" t="s">
        <v>532</v>
      </c>
      <c r="C60" s="1" t="s">
        <v>1014</v>
      </c>
      <c r="D60" s="46" t="s">
        <v>1349</v>
      </c>
    </row>
    <row r="61" spans="1:4" ht="27">
      <c r="A61" s="1">
        <v>60</v>
      </c>
      <c r="B61" s="1" t="s">
        <v>532</v>
      </c>
      <c r="C61" s="1" t="s">
        <v>997</v>
      </c>
      <c r="D61" s="46" t="s">
        <v>1280</v>
      </c>
    </row>
    <row r="62" spans="1:4" ht="121.5">
      <c r="A62" s="1">
        <v>61</v>
      </c>
      <c r="B62" s="1" t="s">
        <v>532</v>
      </c>
      <c r="C62" s="1" t="s">
        <v>989</v>
      </c>
      <c r="D62" s="46" t="s">
        <v>1378</v>
      </c>
    </row>
    <row r="63" spans="1:4" ht="54">
      <c r="A63" s="1">
        <v>62</v>
      </c>
      <c r="B63" s="1" t="s">
        <v>532</v>
      </c>
      <c r="C63" s="1" t="s">
        <v>998</v>
      </c>
      <c r="D63" s="46" t="s">
        <v>1350</v>
      </c>
    </row>
    <row r="64" spans="1:4" ht="40.5">
      <c r="A64" s="1">
        <v>63</v>
      </c>
      <c r="B64" s="1" t="s">
        <v>532</v>
      </c>
      <c r="C64" s="1" t="s">
        <v>990</v>
      </c>
      <c r="D64" s="49" t="s">
        <v>1281</v>
      </c>
    </row>
    <row r="65" spans="1:4">
      <c r="A65" s="1">
        <v>64</v>
      </c>
      <c r="B65" s="1" t="s">
        <v>532</v>
      </c>
      <c r="C65" s="1" t="s">
        <v>995</v>
      </c>
      <c r="D65" s="46" t="s">
        <v>1351</v>
      </c>
    </row>
    <row r="66" spans="1:4" ht="40.5">
      <c r="A66" s="1">
        <v>65</v>
      </c>
      <c r="B66" s="1" t="s">
        <v>532</v>
      </c>
      <c r="C66" s="1" t="s">
        <v>701</v>
      </c>
      <c r="D66" s="46" t="s">
        <v>1282</v>
      </c>
    </row>
    <row r="67" spans="1:4" ht="54">
      <c r="A67" s="1">
        <v>66</v>
      </c>
      <c r="B67" s="1" t="s">
        <v>532</v>
      </c>
      <c r="C67" s="1" t="s">
        <v>699</v>
      </c>
      <c r="D67" s="46" t="s">
        <v>1283</v>
      </c>
    </row>
    <row r="68" spans="1:4" ht="189">
      <c r="A68" s="1">
        <v>67</v>
      </c>
      <c r="B68" s="1" t="s">
        <v>532</v>
      </c>
      <c r="C68" s="1" t="s">
        <v>665</v>
      </c>
      <c r="D68" s="46" t="s">
        <v>1352</v>
      </c>
    </row>
    <row r="69" spans="1:4" ht="40.5">
      <c r="A69" s="1">
        <v>68</v>
      </c>
      <c r="B69" s="1" t="s">
        <v>532</v>
      </c>
      <c r="C69" s="1" t="s">
        <v>672</v>
      </c>
      <c r="D69" s="46" t="s">
        <v>1284</v>
      </c>
    </row>
    <row r="70" spans="1:4">
      <c r="A70" s="1">
        <v>69</v>
      </c>
      <c r="B70" s="1" t="s">
        <v>532</v>
      </c>
      <c r="C70" s="1" t="s">
        <v>666</v>
      </c>
      <c r="D70" s="46" t="s">
        <v>1285</v>
      </c>
    </row>
    <row r="71" spans="1:4" ht="27">
      <c r="A71" s="1">
        <v>70</v>
      </c>
      <c r="B71" s="1" t="s">
        <v>532</v>
      </c>
      <c r="C71" s="1" t="s">
        <v>690</v>
      </c>
      <c r="D71" s="46" t="s">
        <v>1286</v>
      </c>
    </row>
    <row r="72" spans="1:4">
      <c r="A72" s="1">
        <v>71</v>
      </c>
      <c r="B72" s="1" t="s">
        <v>532</v>
      </c>
      <c r="C72" s="1" t="s">
        <v>667</v>
      </c>
      <c r="D72" s="46" t="s">
        <v>1287</v>
      </c>
    </row>
    <row r="73" spans="1:4" ht="216">
      <c r="A73" s="1">
        <v>72</v>
      </c>
      <c r="B73" s="1" t="s">
        <v>532</v>
      </c>
      <c r="C73" s="1" t="s">
        <v>688</v>
      </c>
      <c r="D73" s="46" t="s">
        <v>1377</v>
      </c>
    </row>
    <row r="74" spans="1:4">
      <c r="A74" s="1">
        <v>73</v>
      </c>
      <c r="B74" s="1" t="s">
        <v>532</v>
      </c>
      <c r="C74" s="1" t="s">
        <v>695</v>
      </c>
      <c r="D74" s="46" t="s">
        <v>1191</v>
      </c>
    </row>
    <row r="75" spans="1:4" ht="27">
      <c r="A75" s="1">
        <v>74</v>
      </c>
      <c r="B75" s="1" t="s">
        <v>532</v>
      </c>
      <c r="C75" s="1" t="s">
        <v>691</v>
      </c>
      <c r="D75" s="46" t="s">
        <v>1353</v>
      </c>
    </row>
    <row r="76" spans="1:4" ht="81">
      <c r="A76" s="1">
        <v>75</v>
      </c>
      <c r="B76" s="1" t="s">
        <v>532</v>
      </c>
      <c r="C76" s="1" t="s">
        <v>1000</v>
      </c>
      <c r="D76" s="46" t="s">
        <v>1288</v>
      </c>
    </row>
    <row r="77" spans="1:4" ht="148.5">
      <c r="A77" s="1">
        <v>76</v>
      </c>
      <c r="B77" s="1" t="s">
        <v>532</v>
      </c>
      <c r="C77" s="1" t="s">
        <v>992</v>
      </c>
      <c r="D77" s="46" t="s">
        <v>1376</v>
      </c>
    </row>
    <row r="78" spans="1:4" ht="67.5">
      <c r="A78" s="1">
        <v>77</v>
      </c>
      <c r="B78" s="1" t="s">
        <v>532</v>
      </c>
      <c r="C78" s="1" t="s">
        <v>991</v>
      </c>
      <c r="D78" s="46" t="s">
        <v>1354</v>
      </c>
    </row>
    <row r="79" spans="1:4" ht="121.5">
      <c r="A79" s="1">
        <v>78</v>
      </c>
      <c r="B79" s="1" t="s">
        <v>532</v>
      </c>
      <c r="C79" s="1" t="s">
        <v>1005</v>
      </c>
      <c r="D79" s="46" t="s">
        <v>1355</v>
      </c>
    </row>
    <row r="80" spans="1:4" ht="54">
      <c r="A80" s="1">
        <v>79</v>
      </c>
      <c r="B80" s="1" t="s">
        <v>532</v>
      </c>
      <c r="C80" s="1" t="s">
        <v>1004</v>
      </c>
      <c r="D80" s="46" t="s">
        <v>1356</v>
      </c>
    </row>
    <row r="81" spans="1:4" ht="40.5">
      <c r="A81" s="1">
        <v>80</v>
      </c>
      <c r="B81" s="1" t="s">
        <v>532</v>
      </c>
      <c r="C81" s="1" t="s">
        <v>1006</v>
      </c>
      <c r="D81" s="46" t="s">
        <v>1289</v>
      </c>
    </row>
    <row r="82" spans="1:4" ht="94.5">
      <c r="A82" s="1">
        <v>81</v>
      </c>
      <c r="B82" s="1" t="s">
        <v>532</v>
      </c>
      <c r="C82" s="1" t="s">
        <v>1007</v>
      </c>
      <c r="D82" s="46" t="s">
        <v>1357</v>
      </c>
    </row>
    <row r="83" spans="1:4" ht="81">
      <c r="A83" s="1">
        <v>82</v>
      </c>
      <c r="B83" s="1" t="s">
        <v>532</v>
      </c>
      <c r="C83" s="1" t="s">
        <v>1011</v>
      </c>
      <c r="D83" s="46" t="s">
        <v>1358</v>
      </c>
    </row>
    <row r="84" spans="1:4">
      <c r="A84" s="1">
        <v>83</v>
      </c>
      <c r="B84" s="1" t="s">
        <v>532</v>
      </c>
      <c r="C84" s="1" t="s">
        <v>1001</v>
      </c>
      <c r="D84" s="46"/>
    </row>
    <row r="85" spans="1:4" ht="27">
      <c r="A85" s="1">
        <v>84</v>
      </c>
      <c r="B85" s="1" t="s">
        <v>532</v>
      </c>
      <c r="C85" s="1" t="s">
        <v>1018</v>
      </c>
      <c r="D85" s="46" t="s">
        <v>1290</v>
      </c>
    </row>
    <row r="86" spans="1:4" ht="27">
      <c r="A86" s="1">
        <v>85</v>
      </c>
      <c r="B86" s="1" t="s">
        <v>532</v>
      </c>
      <c r="C86" s="1" t="s">
        <v>1009</v>
      </c>
      <c r="D86" s="46" t="s">
        <v>1291</v>
      </c>
    </row>
    <row r="87" spans="1:4" ht="108">
      <c r="A87" s="1">
        <v>86</v>
      </c>
      <c r="B87" s="1" t="s">
        <v>532</v>
      </c>
      <c r="C87" s="1" t="s">
        <v>1016</v>
      </c>
      <c r="D87" s="46" t="s">
        <v>1292</v>
      </c>
    </row>
    <row r="88" spans="1:4" ht="121.5">
      <c r="A88" s="1">
        <v>87</v>
      </c>
      <c r="B88" s="1" t="s">
        <v>532</v>
      </c>
      <c r="C88" s="1" t="s">
        <v>1017</v>
      </c>
      <c r="D88" s="46" t="s">
        <v>1359</v>
      </c>
    </row>
    <row r="89" spans="1:4" ht="40.5">
      <c r="A89" s="1">
        <v>88</v>
      </c>
      <c r="B89" s="1" t="s">
        <v>532</v>
      </c>
      <c r="C89" s="1" t="s">
        <v>1010</v>
      </c>
      <c r="D89" s="46" t="s">
        <v>1293</v>
      </c>
    </row>
    <row r="90" spans="1:4" ht="67.5">
      <c r="A90" s="1">
        <v>89</v>
      </c>
      <c r="B90" s="1" t="s">
        <v>532</v>
      </c>
      <c r="C90" s="1" t="s">
        <v>1008</v>
      </c>
      <c r="D90" s="46" t="s">
        <v>1294</v>
      </c>
    </row>
    <row r="91" spans="1:4">
      <c r="A91" s="1">
        <v>90</v>
      </c>
      <c r="B91" s="1" t="s">
        <v>532</v>
      </c>
      <c r="C91" s="1" t="s">
        <v>1015</v>
      </c>
      <c r="D91" s="46" t="s">
        <v>1191</v>
      </c>
    </row>
    <row r="92" spans="1:4" ht="27">
      <c r="A92" s="1">
        <v>91</v>
      </c>
      <c r="B92" s="1" t="s">
        <v>532</v>
      </c>
      <c r="C92" s="1" t="s">
        <v>1019</v>
      </c>
      <c r="D92" s="46" t="s">
        <v>1360</v>
      </c>
    </row>
    <row r="93" spans="1:4" ht="27">
      <c r="A93" s="1">
        <v>92</v>
      </c>
      <c r="B93" s="1" t="s">
        <v>532</v>
      </c>
      <c r="C93" s="1" t="s">
        <v>838</v>
      </c>
      <c r="D93" s="46" t="s">
        <v>1295</v>
      </c>
    </row>
    <row r="94" spans="1:4" ht="283.5">
      <c r="A94" s="1">
        <v>93</v>
      </c>
      <c r="B94" s="1" t="s">
        <v>532</v>
      </c>
      <c r="C94" s="1" t="s">
        <v>840</v>
      </c>
      <c r="D94" s="46" t="s">
        <v>1375</v>
      </c>
    </row>
    <row r="95" spans="1:4" ht="148.5">
      <c r="A95" s="1">
        <v>94</v>
      </c>
      <c r="B95" s="1" t="s">
        <v>532</v>
      </c>
      <c r="C95" s="1" t="s">
        <v>837</v>
      </c>
      <c r="D95" s="46" t="s">
        <v>1374</v>
      </c>
    </row>
    <row r="96" spans="1:4" ht="27">
      <c r="A96" s="1">
        <v>95</v>
      </c>
      <c r="B96" s="1" t="s">
        <v>532</v>
      </c>
      <c r="C96" s="1" t="s">
        <v>825</v>
      </c>
      <c r="D96" s="46" t="s">
        <v>1192</v>
      </c>
    </row>
    <row r="97" spans="1:4" ht="27">
      <c r="A97" s="1">
        <v>96</v>
      </c>
      <c r="B97" s="1" t="s">
        <v>532</v>
      </c>
      <c r="C97" s="1" t="s">
        <v>832</v>
      </c>
      <c r="D97" s="46" t="s">
        <v>1193</v>
      </c>
    </row>
    <row r="98" spans="1:4">
      <c r="A98" s="1">
        <v>97</v>
      </c>
      <c r="B98" s="1" t="s">
        <v>532</v>
      </c>
      <c r="C98" s="1" t="s">
        <v>836</v>
      </c>
      <c r="D98" s="46" t="s">
        <v>1194</v>
      </c>
    </row>
    <row r="99" spans="1:4" ht="27">
      <c r="A99" s="1">
        <v>98</v>
      </c>
      <c r="B99" s="1" t="s">
        <v>532</v>
      </c>
      <c r="C99" s="1" t="s">
        <v>845</v>
      </c>
      <c r="D99" s="52" t="s">
        <v>1391</v>
      </c>
    </row>
    <row r="100" spans="1:4" ht="270">
      <c r="A100" s="1">
        <v>99</v>
      </c>
      <c r="B100" s="1" t="s">
        <v>532</v>
      </c>
      <c r="C100" s="1" t="s">
        <v>847</v>
      </c>
      <c r="D100" s="46" t="s">
        <v>1381</v>
      </c>
    </row>
    <row r="101" spans="1:4" ht="27">
      <c r="A101" s="1">
        <v>100</v>
      </c>
      <c r="B101" s="1" t="s">
        <v>532</v>
      </c>
      <c r="C101" s="1" t="s">
        <v>851</v>
      </c>
      <c r="D101" s="46" t="s">
        <v>1296</v>
      </c>
    </row>
    <row r="102" spans="1:4" ht="40.5">
      <c r="A102" s="1">
        <v>101</v>
      </c>
      <c r="B102" s="1" t="s">
        <v>532</v>
      </c>
      <c r="C102" s="1" t="s">
        <v>833</v>
      </c>
      <c r="D102" s="46" t="s">
        <v>1297</v>
      </c>
    </row>
    <row r="103" spans="1:4" ht="40.5">
      <c r="A103" s="1">
        <v>102</v>
      </c>
      <c r="B103" s="1" t="s">
        <v>532</v>
      </c>
      <c r="C103" s="1" t="s">
        <v>844</v>
      </c>
      <c r="D103" s="46" t="s">
        <v>1298</v>
      </c>
    </row>
    <row r="104" spans="1:4" ht="54">
      <c r="A104" s="1">
        <v>103</v>
      </c>
      <c r="B104" s="1" t="s">
        <v>532</v>
      </c>
      <c r="C104" s="1" t="s">
        <v>835</v>
      </c>
      <c r="D104" s="46" t="s">
        <v>1195</v>
      </c>
    </row>
    <row r="105" spans="1:4" ht="81">
      <c r="A105" s="1">
        <v>104</v>
      </c>
      <c r="B105" s="1" t="s">
        <v>532</v>
      </c>
      <c r="C105" s="1" t="s">
        <v>841</v>
      </c>
      <c r="D105" s="46" t="s">
        <v>1382</v>
      </c>
    </row>
    <row r="106" spans="1:4" ht="27">
      <c r="A106" s="1">
        <v>105</v>
      </c>
      <c r="B106" s="1" t="s">
        <v>532</v>
      </c>
      <c r="C106" s="1" t="s">
        <v>839</v>
      </c>
      <c r="D106" s="52" t="s">
        <v>1383</v>
      </c>
    </row>
    <row r="107" spans="1:4" s="44" customFormat="1" ht="121.5">
      <c r="A107" s="45">
        <v>106</v>
      </c>
      <c r="B107" s="45" t="s">
        <v>532</v>
      </c>
      <c r="C107" s="45" t="s">
        <v>817</v>
      </c>
      <c r="D107" s="47" t="s">
        <v>1299</v>
      </c>
    </row>
    <row r="108" spans="1:4" s="44" customFormat="1" ht="148.5">
      <c r="A108" s="45">
        <v>107</v>
      </c>
      <c r="B108" s="45" t="s">
        <v>532</v>
      </c>
      <c r="C108" s="45" t="s">
        <v>834</v>
      </c>
      <c r="D108" s="47" t="s">
        <v>1384</v>
      </c>
    </row>
    <row r="109" spans="1:4" s="44" customFormat="1">
      <c r="A109" s="45">
        <v>108</v>
      </c>
      <c r="B109" s="45" t="s">
        <v>532</v>
      </c>
      <c r="C109" s="45" t="s">
        <v>855</v>
      </c>
      <c r="D109" s="47" t="s">
        <v>1300</v>
      </c>
    </row>
    <row r="110" spans="1:4" s="44" customFormat="1" ht="40.5">
      <c r="A110" s="45">
        <v>109</v>
      </c>
      <c r="B110" s="45" t="s">
        <v>532</v>
      </c>
      <c r="C110" s="45" t="s">
        <v>857</v>
      </c>
      <c r="D110" s="46" t="s">
        <v>1326</v>
      </c>
    </row>
    <row r="111" spans="1:4" s="44" customFormat="1" ht="81">
      <c r="A111" s="45">
        <v>110</v>
      </c>
      <c r="B111" s="45" t="s">
        <v>532</v>
      </c>
      <c r="C111" s="45" t="s">
        <v>850</v>
      </c>
      <c r="D111" s="47" t="s">
        <v>1385</v>
      </c>
    </row>
    <row r="112" spans="1:4" s="44" customFormat="1" ht="108">
      <c r="A112" s="45">
        <v>111</v>
      </c>
      <c r="B112" s="45" t="s">
        <v>532</v>
      </c>
      <c r="C112" s="45" t="s">
        <v>859</v>
      </c>
      <c r="D112" s="47" t="s">
        <v>1361</v>
      </c>
    </row>
    <row r="113" spans="1:4" s="44" customFormat="1" ht="27">
      <c r="A113" s="45">
        <v>112</v>
      </c>
      <c r="B113" s="45" t="s">
        <v>532</v>
      </c>
      <c r="C113" s="45" t="s">
        <v>848</v>
      </c>
      <c r="D113" s="47" t="s">
        <v>1301</v>
      </c>
    </row>
    <row r="114" spans="1:4" s="44" customFormat="1">
      <c r="A114" s="45">
        <v>113</v>
      </c>
      <c r="B114" s="45" t="s">
        <v>532</v>
      </c>
      <c r="C114" s="45" t="s">
        <v>846</v>
      </c>
      <c r="D114" s="47" t="s">
        <v>1196</v>
      </c>
    </row>
    <row r="115" spans="1:4" s="44" customFormat="1">
      <c r="A115" s="45">
        <v>114</v>
      </c>
      <c r="B115" s="45" t="s">
        <v>532</v>
      </c>
      <c r="C115" s="45" t="s">
        <v>862</v>
      </c>
      <c r="D115" s="47" t="s">
        <v>1194</v>
      </c>
    </row>
    <row r="116" spans="1:4" s="44" customFormat="1">
      <c r="A116" s="45">
        <v>115</v>
      </c>
      <c r="B116" s="45" t="s">
        <v>532</v>
      </c>
      <c r="C116" s="45" t="s">
        <v>860</v>
      </c>
      <c r="D116" s="47" t="s">
        <v>1320</v>
      </c>
    </row>
    <row r="117" spans="1:4" s="44" customFormat="1" ht="67.5">
      <c r="A117" s="45">
        <v>116</v>
      </c>
      <c r="B117" s="45" t="s">
        <v>532</v>
      </c>
      <c r="C117" s="45" t="s">
        <v>863</v>
      </c>
      <c r="D117" s="47" t="s">
        <v>1302</v>
      </c>
    </row>
    <row r="118" spans="1:4" s="44" customFormat="1" ht="40.5">
      <c r="A118" s="45">
        <v>117</v>
      </c>
      <c r="B118" s="45" t="s">
        <v>532</v>
      </c>
      <c r="C118" s="45" t="s">
        <v>864</v>
      </c>
      <c r="D118" s="47" t="s">
        <v>1321</v>
      </c>
    </row>
    <row r="119" spans="1:4" s="44" customFormat="1" ht="162">
      <c r="A119" s="45">
        <v>118</v>
      </c>
      <c r="B119" s="45" t="s">
        <v>532</v>
      </c>
      <c r="C119" s="45" t="s">
        <v>873</v>
      </c>
      <c r="D119" s="47" t="s">
        <v>1362</v>
      </c>
    </row>
    <row r="120" spans="1:4" s="44" customFormat="1" ht="54">
      <c r="A120" s="45">
        <v>119</v>
      </c>
      <c r="B120" s="45" t="s">
        <v>532</v>
      </c>
      <c r="C120" s="45" t="s">
        <v>843</v>
      </c>
      <c r="D120" s="47" t="s">
        <v>1303</v>
      </c>
    </row>
    <row r="121" spans="1:4" s="44" customFormat="1">
      <c r="A121" s="45">
        <v>120</v>
      </c>
      <c r="B121" s="45" t="s">
        <v>532</v>
      </c>
      <c r="C121" s="45" t="s">
        <v>858</v>
      </c>
      <c r="D121" s="47" t="s">
        <v>1304</v>
      </c>
    </row>
    <row r="122" spans="1:4" s="44" customFormat="1">
      <c r="A122" s="45">
        <v>121</v>
      </c>
      <c r="B122" s="45" t="s">
        <v>532</v>
      </c>
      <c r="C122" s="45" t="s">
        <v>861</v>
      </c>
      <c r="D122" s="47" t="s">
        <v>1194</v>
      </c>
    </row>
    <row r="123" spans="1:4" s="44" customFormat="1" ht="27">
      <c r="A123" s="45">
        <v>122</v>
      </c>
      <c r="B123" s="45" t="s">
        <v>532</v>
      </c>
      <c r="C123" s="45" t="s">
        <v>856</v>
      </c>
      <c r="D123" s="47" t="s">
        <v>1322</v>
      </c>
    </row>
    <row r="124" spans="1:4" s="44" customFormat="1" ht="40.5">
      <c r="A124" s="45">
        <v>123</v>
      </c>
      <c r="B124" s="45" t="s">
        <v>532</v>
      </c>
      <c r="C124" s="45" t="s">
        <v>849</v>
      </c>
      <c r="D124" s="47" t="s">
        <v>1305</v>
      </c>
    </row>
    <row r="125" spans="1:4" s="44" customFormat="1" ht="54">
      <c r="A125" s="45">
        <v>124</v>
      </c>
      <c r="B125" s="45" t="s">
        <v>532</v>
      </c>
      <c r="C125" s="45" t="s">
        <v>867</v>
      </c>
      <c r="D125" s="47" t="s">
        <v>1306</v>
      </c>
    </row>
    <row r="126" spans="1:4" ht="81">
      <c r="A126" s="1">
        <v>125</v>
      </c>
      <c r="B126" s="1" t="s">
        <v>532</v>
      </c>
      <c r="C126" s="1" t="s">
        <v>869</v>
      </c>
      <c r="D126" s="46" t="s">
        <v>1323</v>
      </c>
    </row>
    <row r="127" spans="1:4" s="44" customFormat="1" ht="27">
      <c r="A127" s="45">
        <v>126</v>
      </c>
      <c r="B127" s="45" t="s">
        <v>532</v>
      </c>
      <c r="C127" s="45" t="s">
        <v>852</v>
      </c>
      <c r="D127" s="47" t="s">
        <v>1324</v>
      </c>
    </row>
    <row r="128" spans="1:4" s="44" customFormat="1">
      <c r="A128" s="45">
        <v>127</v>
      </c>
      <c r="B128" s="45" t="s">
        <v>532</v>
      </c>
      <c r="C128" s="45" t="s">
        <v>871</v>
      </c>
      <c r="D128" s="47" t="s">
        <v>1197</v>
      </c>
    </row>
    <row r="129" spans="1:4" s="44" customFormat="1">
      <c r="A129" s="45">
        <v>128</v>
      </c>
      <c r="B129" s="45" t="s">
        <v>532</v>
      </c>
      <c r="C129" s="45" t="s">
        <v>887</v>
      </c>
      <c r="D129" s="47" t="s">
        <v>1198</v>
      </c>
    </row>
    <row r="130" spans="1:4" s="44" customFormat="1">
      <c r="A130" s="45">
        <v>129</v>
      </c>
      <c r="B130" s="45" t="s">
        <v>532</v>
      </c>
      <c r="C130" s="45" t="s">
        <v>876</v>
      </c>
      <c r="D130" s="47" t="s">
        <v>1199</v>
      </c>
    </row>
    <row r="131" spans="1:4" s="44" customFormat="1" ht="27">
      <c r="A131" s="45">
        <v>130</v>
      </c>
      <c r="B131" s="45" t="s">
        <v>532</v>
      </c>
      <c r="C131" s="45" t="s">
        <v>878</v>
      </c>
      <c r="D131" s="47" t="s">
        <v>1325</v>
      </c>
    </row>
    <row r="132" spans="1:4" s="44" customFormat="1" ht="27">
      <c r="A132" s="45">
        <v>131</v>
      </c>
      <c r="B132" s="45" t="s">
        <v>532</v>
      </c>
      <c r="C132" s="45" t="s">
        <v>865</v>
      </c>
      <c r="D132" s="47" t="s">
        <v>1325</v>
      </c>
    </row>
    <row r="133" spans="1:4" s="44" customFormat="1" ht="27">
      <c r="A133" s="45">
        <v>132</v>
      </c>
      <c r="B133" s="45" t="s">
        <v>532</v>
      </c>
      <c r="C133" s="45" t="s">
        <v>877</v>
      </c>
      <c r="D133" s="47" t="s">
        <v>1325</v>
      </c>
    </row>
    <row r="134" spans="1:4" ht="27">
      <c r="A134" s="1">
        <v>133</v>
      </c>
      <c r="B134" s="1" t="s">
        <v>532</v>
      </c>
      <c r="C134" s="1" t="s">
        <v>1189</v>
      </c>
      <c r="D134" s="52" t="s">
        <v>1388</v>
      </c>
    </row>
    <row r="135" spans="1:4" ht="27">
      <c r="A135" s="1">
        <v>134</v>
      </c>
      <c r="B135" s="1" t="s">
        <v>532</v>
      </c>
      <c r="C135" s="1" t="s">
        <v>853</v>
      </c>
      <c r="D135" s="52" t="s">
        <v>1388</v>
      </c>
    </row>
    <row r="136" spans="1:4" ht="54">
      <c r="A136" s="1">
        <v>135</v>
      </c>
      <c r="B136" s="1" t="s">
        <v>532</v>
      </c>
      <c r="C136" s="1" t="s">
        <v>854</v>
      </c>
      <c r="D136" s="52" t="s">
        <v>1389</v>
      </c>
    </row>
    <row r="137" spans="1:4" ht="40.5">
      <c r="A137" s="1">
        <v>136</v>
      </c>
      <c r="B137" s="1" t="s">
        <v>532</v>
      </c>
      <c r="C137" s="1" t="s">
        <v>875</v>
      </c>
      <c r="D137" s="46" t="s">
        <v>1326</v>
      </c>
    </row>
    <row r="138" spans="1:4" ht="40.5">
      <c r="A138" s="1">
        <v>137</v>
      </c>
      <c r="B138" s="1" t="s">
        <v>532</v>
      </c>
      <c r="C138" s="1" t="s">
        <v>874</v>
      </c>
      <c r="D138" s="46" t="s">
        <v>1326</v>
      </c>
    </row>
    <row r="139" spans="1:4" ht="40.5">
      <c r="A139" s="1">
        <v>138</v>
      </c>
      <c r="B139" s="1" t="s">
        <v>532</v>
      </c>
      <c r="C139" s="1" t="s">
        <v>893</v>
      </c>
      <c r="D139" s="46" t="s">
        <v>1326</v>
      </c>
    </row>
    <row r="140" spans="1:4" ht="40.5">
      <c r="A140" s="1">
        <v>139</v>
      </c>
      <c r="B140" s="1" t="s">
        <v>532</v>
      </c>
      <c r="C140" s="1" t="s">
        <v>872</v>
      </c>
      <c r="D140" s="46" t="s">
        <v>1326</v>
      </c>
    </row>
    <row r="141" spans="1:4" ht="40.5">
      <c r="A141" s="1">
        <v>140</v>
      </c>
      <c r="B141" s="1" t="s">
        <v>532</v>
      </c>
      <c r="C141" s="1" t="s">
        <v>866</v>
      </c>
      <c r="D141" s="46" t="s">
        <v>1326</v>
      </c>
    </row>
    <row r="142" spans="1:4" ht="40.5">
      <c r="A142" s="1">
        <v>141</v>
      </c>
      <c r="B142" s="1" t="s">
        <v>532</v>
      </c>
      <c r="C142" s="1" t="s">
        <v>868</v>
      </c>
      <c r="D142" s="46" t="s">
        <v>1326</v>
      </c>
    </row>
    <row r="143" spans="1:4" ht="108">
      <c r="A143" s="1">
        <v>142</v>
      </c>
      <c r="B143" s="1" t="s">
        <v>447</v>
      </c>
      <c r="C143" s="1" t="s">
        <v>908</v>
      </c>
      <c r="D143" s="46" t="s">
        <v>1327</v>
      </c>
    </row>
    <row r="144" spans="1:4" ht="135">
      <c r="A144" s="1">
        <v>143</v>
      </c>
      <c r="B144" s="1" t="s">
        <v>447</v>
      </c>
      <c r="C144" s="1" t="s">
        <v>883</v>
      </c>
      <c r="D144" s="51" t="s">
        <v>1387</v>
      </c>
    </row>
    <row r="145" spans="1:4" ht="40.5">
      <c r="A145" s="1">
        <v>144</v>
      </c>
      <c r="B145" s="1" t="s">
        <v>447</v>
      </c>
      <c r="C145" s="1" t="s">
        <v>888</v>
      </c>
      <c r="D145" s="46" t="s">
        <v>1328</v>
      </c>
    </row>
    <row r="146" spans="1:4" ht="81">
      <c r="A146" s="1">
        <v>145</v>
      </c>
      <c r="B146" s="1" t="s">
        <v>447</v>
      </c>
      <c r="C146" s="1" t="s">
        <v>889</v>
      </c>
      <c r="D146" s="46" t="s">
        <v>1386</v>
      </c>
    </row>
    <row r="147" spans="1:4" s="55" customFormat="1">
      <c r="A147" s="53">
        <v>146</v>
      </c>
      <c r="B147" s="53" t="s">
        <v>447</v>
      </c>
      <c r="C147" s="53" t="s">
        <v>879</v>
      </c>
      <c r="D147" s="54" t="s">
        <v>1396</v>
      </c>
    </row>
    <row r="148" spans="1:4" s="55" customFormat="1">
      <c r="A148" s="53">
        <v>147</v>
      </c>
      <c r="B148" s="53" t="s">
        <v>447</v>
      </c>
      <c r="C148" s="53" t="s">
        <v>882</v>
      </c>
      <c r="D148" s="54" t="s">
        <v>1396</v>
      </c>
    </row>
    <row r="149" spans="1:4" s="55" customFormat="1">
      <c r="A149" s="53">
        <v>148</v>
      </c>
      <c r="B149" s="53" t="s">
        <v>447</v>
      </c>
      <c r="C149" s="53" t="s">
        <v>892</v>
      </c>
      <c r="D149" s="54" t="s">
        <v>1396</v>
      </c>
    </row>
    <row r="150" spans="1:4" ht="27">
      <c r="A150" s="1">
        <v>149</v>
      </c>
      <c r="B150" s="1" t="s">
        <v>447</v>
      </c>
      <c r="C150" s="1" t="s">
        <v>880</v>
      </c>
      <c r="D150" s="46" t="s">
        <v>1395</v>
      </c>
    </row>
    <row r="151" spans="1:4" ht="54">
      <c r="A151" s="1">
        <v>150</v>
      </c>
      <c r="B151" s="1" t="s">
        <v>447</v>
      </c>
      <c r="C151" s="1" t="s">
        <v>884</v>
      </c>
      <c r="D151" s="46" t="s">
        <v>1329</v>
      </c>
    </row>
    <row r="152" spans="1:4" ht="54">
      <c r="A152" s="1">
        <v>151</v>
      </c>
      <c r="B152" s="1" t="s">
        <v>447</v>
      </c>
      <c r="C152" s="1" t="s">
        <v>881</v>
      </c>
      <c r="D152" s="46" t="s">
        <v>1330</v>
      </c>
    </row>
    <row r="153" spans="1:4" ht="81">
      <c r="A153" s="1">
        <v>152</v>
      </c>
      <c r="B153" s="1" t="s">
        <v>447</v>
      </c>
      <c r="C153" s="1" t="s">
        <v>890</v>
      </c>
      <c r="D153" s="46" t="s">
        <v>1200</v>
      </c>
    </row>
    <row r="154" spans="1:4">
      <c r="A154" s="1">
        <v>153</v>
      </c>
      <c r="B154" s="1" t="s">
        <v>447</v>
      </c>
      <c r="C154" s="1" t="s">
        <v>870</v>
      </c>
      <c r="D154" s="46" t="s">
        <v>1201</v>
      </c>
    </row>
    <row r="155" spans="1:4">
      <c r="A155" s="1">
        <v>154</v>
      </c>
      <c r="B155" s="1" t="s">
        <v>447</v>
      </c>
      <c r="C155" s="1" t="s">
        <v>894</v>
      </c>
      <c r="D155" s="46" t="s">
        <v>1201</v>
      </c>
    </row>
    <row r="156" spans="1:4" ht="54">
      <c r="A156" s="1">
        <v>155</v>
      </c>
      <c r="B156" s="1" t="s">
        <v>447</v>
      </c>
      <c r="C156" s="1" t="s">
        <v>904</v>
      </c>
      <c r="D156" s="46" t="s">
        <v>1202</v>
      </c>
    </row>
    <row r="157" spans="1:4" ht="54">
      <c r="A157" s="1">
        <v>156</v>
      </c>
      <c r="B157" s="1" t="s">
        <v>447</v>
      </c>
      <c r="C157" s="1" t="s">
        <v>885</v>
      </c>
      <c r="D157" s="46" t="s">
        <v>1203</v>
      </c>
    </row>
    <row r="158" spans="1:4">
      <c r="A158" s="1">
        <v>157</v>
      </c>
      <c r="B158" s="1" t="s">
        <v>447</v>
      </c>
      <c r="C158" s="1" t="s">
        <v>903</v>
      </c>
      <c r="D158" s="46" t="s">
        <v>1201</v>
      </c>
    </row>
    <row r="159" spans="1:4" ht="27">
      <c r="A159" s="1">
        <v>158</v>
      </c>
      <c r="B159" s="1" t="s">
        <v>447</v>
      </c>
      <c r="C159" s="1" t="s">
        <v>899</v>
      </c>
      <c r="D159" s="46" t="s">
        <v>1204</v>
      </c>
    </row>
    <row r="160" spans="1:4" ht="27">
      <c r="A160" s="1">
        <v>159</v>
      </c>
      <c r="B160" s="1" t="s">
        <v>447</v>
      </c>
      <c r="C160" s="1" t="s">
        <v>926</v>
      </c>
      <c r="D160" s="46" t="s">
        <v>1363</v>
      </c>
    </row>
    <row r="161" spans="1:4" ht="94.5">
      <c r="A161" s="1">
        <v>160</v>
      </c>
      <c r="B161" s="1" t="s">
        <v>447</v>
      </c>
      <c r="C161" s="1" t="s">
        <v>902</v>
      </c>
      <c r="D161" s="46" t="s">
        <v>1364</v>
      </c>
    </row>
    <row r="162" spans="1:4" ht="67.5">
      <c r="A162" s="1">
        <v>161</v>
      </c>
      <c r="B162" s="1" t="s">
        <v>447</v>
      </c>
      <c r="C162" s="1" t="s">
        <v>897</v>
      </c>
      <c r="D162" s="46" t="s">
        <v>1205</v>
      </c>
    </row>
    <row r="163" spans="1:4" ht="40.5">
      <c r="A163" s="1">
        <v>162</v>
      </c>
      <c r="B163" s="1" t="s">
        <v>447</v>
      </c>
      <c r="C163" s="1" t="s">
        <v>895</v>
      </c>
      <c r="D163" s="46" t="s">
        <v>1206</v>
      </c>
    </row>
    <row r="164" spans="1:4">
      <c r="A164" s="1">
        <v>163</v>
      </c>
      <c r="B164" s="1" t="s">
        <v>447</v>
      </c>
      <c r="C164" s="1" t="s">
        <v>905</v>
      </c>
      <c r="D164" s="46" t="s">
        <v>1207</v>
      </c>
    </row>
    <row r="165" spans="1:4" ht="27">
      <c r="A165" s="1">
        <v>164</v>
      </c>
      <c r="B165" s="1" t="s">
        <v>447</v>
      </c>
      <c r="C165" s="1" t="s">
        <v>915</v>
      </c>
      <c r="D165" s="46" t="s">
        <v>1208</v>
      </c>
    </row>
    <row r="166" spans="1:4" ht="27">
      <c r="A166" s="1">
        <v>165</v>
      </c>
      <c r="B166" s="1" t="s">
        <v>447</v>
      </c>
      <c r="C166" s="1" t="s">
        <v>886</v>
      </c>
      <c r="D166" s="46" t="s">
        <v>1331</v>
      </c>
    </row>
    <row r="167" spans="1:4" ht="27">
      <c r="A167" s="1">
        <v>166</v>
      </c>
      <c r="B167" s="1" t="s">
        <v>447</v>
      </c>
      <c r="C167" s="1" t="s">
        <v>907</v>
      </c>
      <c r="D167" s="46" t="s">
        <v>1331</v>
      </c>
    </row>
    <row r="168" spans="1:4" ht="27">
      <c r="A168" s="1">
        <v>167</v>
      </c>
      <c r="B168" s="1" t="s">
        <v>447</v>
      </c>
      <c r="C168" s="1" t="s">
        <v>906</v>
      </c>
      <c r="D168" s="46" t="s">
        <v>1331</v>
      </c>
    </row>
    <row r="169" spans="1:4" ht="81">
      <c r="A169" s="1">
        <v>168</v>
      </c>
      <c r="B169" s="1" t="s">
        <v>447</v>
      </c>
      <c r="C169" s="1" t="s">
        <v>898</v>
      </c>
      <c r="D169" s="46" t="s">
        <v>1317</v>
      </c>
    </row>
    <row r="170" spans="1:4" ht="27">
      <c r="A170" s="1">
        <v>169</v>
      </c>
      <c r="B170" s="1" t="s">
        <v>447</v>
      </c>
      <c r="C170" s="1" t="s">
        <v>909</v>
      </c>
      <c r="D170" s="46" t="s">
        <v>1332</v>
      </c>
    </row>
    <row r="171" spans="1:4">
      <c r="A171" s="1">
        <v>170</v>
      </c>
      <c r="B171" s="1" t="s">
        <v>447</v>
      </c>
      <c r="C171" s="1" t="s">
        <v>891</v>
      </c>
      <c r="D171" s="46"/>
    </row>
    <row r="172" spans="1:4" ht="54">
      <c r="A172" s="1">
        <v>171</v>
      </c>
      <c r="B172" s="1" t="s">
        <v>447</v>
      </c>
      <c r="C172" s="1" t="s">
        <v>931</v>
      </c>
      <c r="D172" s="46" t="s">
        <v>1333</v>
      </c>
    </row>
    <row r="173" spans="1:4" ht="27">
      <c r="A173" s="1">
        <v>172</v>
      </c>
      <c r="B173" s="1" t="s">
        <v>447</v>
      </c>
      <c r="C173" s="1" t="s">
        <v>922</v>
      </c>
      <c r="D173" s="46" t="s">
        <v>1334</v>
      </c>
    </row>
    <row r="174" spans="1:4" ht="67.5">
      <c r="A174" s="1">
        <v>173</v>
      </c>
      <c r="B174" s="1" t="s">
        <v>447</v>
      </c>
      <c r="C174" s="1" t="s">
        <v>896</v>
      </c>
      <c r="D174" s="46" t="s">
        <v>1318</v>
      </c>
    </row>
    <row r="175" spans="1:4" ht="27">
      <c r="A175" s="1">
        <v>174</v>
      </c>
      <c r="B175" s="1" t="s">
        <v>447</v>
      </c>
      <c r="C175" s="1" t="s">
        <v>910</v>
      </c>
      <c r="D175" s="46" t="s">
        <v>1319</v>
      </c>
    </row>
    <row r="176" spans="1:4" ht="121.5">
      <c r="A176" s="1">
        <v>175</v>
      </c>
      <c r="B176" s="1" t="s">
        <v>447</v>
      </c>
      <c r="C176" s="1" t="s">
        <v>913</v>
      </c>
      <c r="D176" s="46" t="s">
        <v>1365</v>
      </c>
    </row>
    <row r="177" spans="1:4" ht="27">
      <c r="A177" s="1">
        <v>176</v>
      </c>
      <c r="B177" s="1" t="s">
        <v>447</v>
      </c>
      <c r="C177" s="1" t="s">
        <v>911</v>
      </c>
      <c r="D177" s="46" t="s">
        <v>1319</v>
      </c>
    </row>
    <row r="178" spans="1:4" ht="27">
      <c r="A178" s="1">
        <v>177</v>
      </c>
      <c r="B178" s="1" t="s">
        <v>447</v>
      </c>
      <c r="C178" s="1" t="s">
        <v>924</v>
      </c>
      <c r="D178" s="46" t="s">
        <v>1337</v>
      </c>
    </row>
    <row r="179" spans="1:4" ht="27">
      <c r="A179" s="1">
        <v>178</v>
      </c>
      <c r="B179" s="1" t="s">
        <v>447</v>
      </c>
      <c r="C179" s="1" t="s">
        <v>912</v>
      </c>
      <c r="D179" s="46" t="s">
        <v>1336</v>
      </c>
    </row>
    <row r="180" spans="1:4" ht="27">
      <c r="A180" s="1">
        <v>179</v>
      </c>
      <c r="B180" s="1" t="s">
        <v>447</v>
      </c>
      <c r="C180" s="1" t="s">
        <v>920</v>
      </c>
      <c r="D180" s="46" t="s">
        <v>1335</v>
      </c>
    </row>
    <row r="181" spans="1:4" ht="27">
      <c r="A181" s="1">
        <v>180</v>
      </c>
      <c r="B181" s="1" t="s">
        <v>447</v>
      </c>
      <c r="C181" s="1" t="s">
        <v>916</v>
      </c>
      <c r="D181" s="46" t="s">
        <v>1335</v>
      </c>
    </row>
    <row r="182" spans="1:4" ht="27">
      <c r="A182" s="1">
        <v>181</v>
      </c>
      <c r="B182" s="1" t="s">
        <v>447</v>
      </c>
      <c r="C182" s="1" t="s">
        <v>914</v>
      </c>
      <c r="D182" s="46" t="s">
        <v>1335</v>
      </c>
    </row>
    <row r="183" spans="1:4" ht="27">
      <c r="A183" s="1">
        <v>182</v>
      </c>
      <c r="B183" s="1" t="s">
        <v>447</v>
      </c>
      <c r="C183" s="1" t="s">
        <v>901</v>
      </c>
      <c r="D183" s="46" t="s">
        <v>1335</v>
      </c>
    </row>
    <row r="184" spans="1:4" ht="27">
      <c r="A184" s="1">
        <v>183</v>
      </c>
      <c r="B184" s="1" t="s">
        <v>447</v>
      </c>
      <c r="C184" s="1" t="s">
        <v>919</v>
      </c>
      <c r="D184" s="46" t="s">
        <v>1335</v>
      </c>
    </row>
    <row r="185" spans="1:4" ht="27">
      <c r="A185" s="1">
        <v>184</v>
      </c>
      <c r="B185" s="1" t="s">
        <v>447</v>
      </c>
      <c r="C185" s="1" t="s">
        <v>900</v>
      </c>
      <c r="D185" s="46" t="s">
        <v>1335</v>
      </c>
    </row>
    <row r="186" spans="1:4" ht="40.5">
      <c r="A186" s="1">
        <v>185</v>
      </c>
      <c r="B186" s="1" t="s">
        <v>447</v>
      </c>
      <c r="C186" s="1" t="s">
        <v>918</v>
      </c>
      <c r="D186" s="46" t="s">
        <v>1338</v>
      </c>
    </row>
    <row r="187" spans="1:4" ht="54">
      <c r="A187" s="1">
        <v>186</v>
      </c>
      <c r="B187" s="1" t="s">
        <v>447</v>
      </c>
      <c r="C187" s="1" t="s">
        <v>917</v>
      </c>
      <c r="D187" s="46" t="s">
        <v>1339</v>
      </c>
    </row>
    <row r="188" spans="1:4" ht="135">
      <c r="A188" s="1">
        <v>187</v>
      </c>
      <c r="B188" s="1" t="s">
        <v>447</v>
      </c>
      <c r="C188" s="1" t="s">
        <v>929</v>
      </c>
      <c r="D188" s="46" t="s">
        <v>1366</v>
      </c>
    </row>
    <row r="189" spans="1:4">
      <c r="A189" s="1">
        <v>188</v>
      </c>
      <c r="B189" s="1" t="s">
        <v>447</v>
      </c>
      <c r="C189" s="1" t="s">
        <v>937</v>
      </c>
      <c r="D189" s="46" t="s">
        <v>1367</v>
      </c>
    </row>
    <row r="190" spans="1:4" ht="67.5">
      <c r="A190" s="1">
        <v>189</v>
      </c>
      <c r="B190" s="1" t="s">
        <v>447</v>
      </c>
      <c r="C190" s="1" t="s">
        <v>927</v>
      </c>
      <c r="D190" s="46" t="s">
        <v>1368</v>
      </c>
    </row>
    <row r="191" spans="1:4" ht="27">
      <c r="A191" s="1">
        <v>190</v>
      </c>
      <c r="B191" s="1" t="s">
        <v>447</v>
      </c>
      <c r="C191" s="1" t="s">
        <v>945</v>
      </c>
      <c r="D191" s="46" t="s">
        <v>1369</v>
      </c>
    </row>
    <row r="192" spans="1:4">
      <c r="A192" s="1">
        <v>191</v>
      </c>
      <c r="B192" s="1" t="s">
        <v>447</v>
      </c>
      <c r="C192" s="1" t="s">
        <v>938</v>
      </c>
      <c r="D192" s="46" t="s">
        <v>1209</v>
      </c>
    </row>
    <row r="193" spans="1:4" ht="40.5">
      <c r="A193" s="1">
        <v>192</v>
      </c>
      <c r="B193" s="1" t="s">
        <v>447</v>
      </c>
      <c r="C193" s="1" t="s">
        <v>936</v>
      </c>
      <c r="D193" s="46" t="s">
        <v>1210</v>
      </c>
    </row>
    <row r="194" spans="1:4">
      <c r="A194" s="1">
        <v>193</v>
      </c>
      <c r="B194" s="1" t="s">
        <v>447</v>
      </c>
      <c r="C194" s="1" t="s">
        <v>933</v>
      </c>
      <c r="D194" s="46" t="s">
        <v>1211</v>
      </c>
    </row>
    <row r="195" spans="1:4" ht="54">
      <c r="A195" s="1">
        <v>194</v>
      </c>
      <c r="B195" s="1" t="s">
        <v>528</v>
      </c>
      <c r="C195" s="1" t="s">
        <v>923</v>
      </c>
      <c r="D195" s="46" t="s">
        <v>1370</v>
      </c>
    </row>
    <row r="196" spans="1:4">
      <c r="A196" s="1">
        <v>195</v>
      </c>
      <c r="B196" s="1" t="s">
        <v>528</v>
      </c>
      <c r="C196" s="1" t="s">
        <v>921</v>
      </c>
      <c r="D196" s="46" t="s">
        <v>1340</v>
      </c>
    </row>
    <row r="197" spans="1:4">
      <c r="A197" s="1">
        <v>196</v>
      </c>
      <c r="B197" s="1" t="s">
        <v>528</v>
      </c>
      <c r="C197" s="1" t="s">
        <v>941</v>
      </c>
      <c r="D197" s="46" t="s">
        <v>1340</v>
      </c>
    </row>
    <row r="198" spans="1:4">
      <c r="A198" s="1">
        <v>197</v>
      </c>
      <c r="B198" s="1" t="s">
        <v>528</v>
      </c>
      <c r="C198" s="1" t="s">
        <v>1105</v>
      </c>
      <c r="D198" s="46" t="s">
        <v>1340</v>
      </c>
    </row>
    <row r="199" spans="1:4">
      <c r="A199" s="1">
        <v>198</v>
      </c>
      <c r="B199" s="1" t="s">
        <v>528</v>
      </c>
      <c r="C199" s="1" t="s">
        <v>1118</v>
      </c>
      <c r="D199" s="46" t="s">
        <v>1341</v>
      </c>
    </row>
    <row r="200" spans="1:4" ht="54">
      <c r="A200" s="1">
        <v>199</v>
      </c>
      <c r="B200" s="1" t="s">
        <v>528</v>
      </c>
      <c r="C200" s="1" t="s">
        <v>1108</v>
      </c>
      <c r="D200" s="46" t="s">
        <v>1371</v>
      </c>
    </row>
    <row r="201" spans="1:4" ht="27">
      <c r="A201" s="1">
        <v>200</v>
      </c>
      <c r="B201" s="1" t="s">
        <v>528</v>
      </c>
      <c r="C201" s="1" t="s">
        <v>1109</v>
      </c>
      <c r="D201" s="46" t="s">
        <v>1265</v>
      </c>
    </row>
    <row r="202" spans="1:4" ht="202.5">
      <c r="A202" s="1">
        <v>201</v>
      </c>
      <c r="B202" s="1" t="s">
        <v>528</v>
      </c>
      <c r="C202" s="1" t="s">
        <v>1104</v>
      </c>
      <c r="D202" s="46" t="s">
        <v>1390</v>
      </c>
    </row>
    <row r="203" spans="1:4">
      <c r="A203" s="1">
        <v>202</v>
      </c>
      <c r="B203" s="1" t="s">
        <v>528</v>
      </c>
      <c r="C203" s="1" t="s">
        <v>1107</v>
      </c>
      <c r="D203" s="46"/>
    </row>
    <row r="204" spans="1:4">
      <c r="A204" s="1">
        <v>203</v>
      </c>
      <c r="B204" s="1" t="s">
        <v>528</v>
      </c>
      <c r="C204" s="1" t="s">
        <v>1102</v>
      </c>
      <c r="D204" s="46"/>
    </row>
    <row r="205" spans="1:4">
      <c r="A205" s="1">
        <v>204</v>
      </c>
      <c r="B205" s="1" t="s">
        <v>528</v>
      </c>
      <c r="C205" s="1" t="s">
        <v>1120</v>
      </c>
      <c r="D205" s="46"/>
    </row>
    <row r="206" spans="1:4" ht="27">
      <c r="A206" s="1">
        <v>205</v>
      </c>
      <c r="B206" s="1" t="s">
        <v>528</v>
      </c>
      <c r="C206" s="1" t="s">
        <v>1137</v>
      </c>
      <c r="D206" s="46" t="s">
        <v>1212</v>
      </c>
    </row>
    <row r="207" spans="1:4" ht="27">
      <c r="A207" s="1">
        <v>206</v>
      </c>
      <c r="B207" s="1" t="s">
        <v>528</v>
      </c>
      <c r="C207" s="1" t="s">
        <v>1129</v>
      </c>
      <c r="D207" s="46" t="s">
        <v>1213</v>
      </c>
    </row>
    <row r="208" spans="1:4" ht="27">
      <c r="A208" s="1">
        <v>207</v>
      </c>
      <c r="B208" s="1" t="s">
        <v>528</v>
      </c>
      <c r="C208" s="1" t="s">
        <v>1142</v>
      </c>
      <c r="D208" s="46" t="s">
        <v>1213</v>
      </c>
    </row>
    <row r="209" spans="1:4" ht="27">
      <c r="A209" s="1">
        <v>208</v>
      </c>
      <c r="B209" s="1" t="s">
        <v>528</v>
      </c>
      <c r="C209" s="1" t="s">
        <v>1106</v>
      </c>
      <c r="D209" s="46" t="s">
        <v>1213</v>
      </c>
    </row>
    <row r="210" spans="1:4">
      <c r="A210" s="1">
        <v>209</v>
      </c>
      <c r="B210" s="1" t="s">
        <v>528</v>
      </c>
      <c r="C210" s="1" t="s">
        <v>1116</v>
      </c>
      <c r="D210" s="46" t="s">
        <v>1309</v>
      </c>
    </row>
    <row r="211" spans="1:4">
      <c r="A211" s="1">
        <v>210</v>
      </c>
      <c r="B211" s="1" t="s">
        <v>528</v>
      </c>
      <c r="C211" s="1" t="s">
        <v>1125</v>
      </c>
      <c r="D211" s="46" t="s">
        <v>1309</v>
      </c>
    </row>
    <row r="212" spans="1:4">
      <c r="A212" s="1">
        <v>211</v>
      </c>
      <c r="B212" s="1" t="s">
        <v>528</v>
      </c>
      <c r="C212" s="1" t="s">
        <v>1117</v>
      </c>
      <c r="D212" s="46" t="s">
        <v>1214</v>
      </c>
    </row>
    <row r="213" spans="1:4">
      <c r="A213" s="1">
        <v>212</v>
      </c>
      <c r="B213" s="1" t="s">
        <v>528</v>
      </c>
      <c r="C213" s="1" t="s">
        <v>1110</v>
      </c>
      <c r="D213" s="46" t="s">
        <v>1215</v>
      </c>
    </row>
    <row r="214" spans="1:4">
      <c r="A214" s="1">
        <v>213</v>
      </c>
      <c r="B214" s="1" t="s">
        <v>528</v>
      </c>
      <c r="C214" s="1" t="s">
        <v>1126</v>
      </c>
      <c r="D214" s="46" t="s">
        <v>1215</v>
      </c>
    </row>
    <row r="215" spans="1:4">
      <c r="A215" s="1">
        <v>214</v>
      </c>
      <c r="B215" s="1" t="s">
        <v>528</v>
      </c>
      <c r="C215" s="1" t="s">
        <v>1101</v>
      </c>
      <c r="D215" s="46" t="s">
        <v>1215</v>
      </c>
    </row>
    <row r="216" spans="1:4" ht="40.5">
      <c r="A216" s="1">
        <v>215</v>
      </c>
      <c r="B216" s="1" t="s">
        <v>1064</v>
      </c>
      <c r="C216" s="1" t="s">
        <v>1139</v>
      </c>
      <c r="D216" s="46" t="s">
        <v>1310</v>
      </c>
    </row>
    <row r="217" spans="1:4">
      <c r="A217" s="1">
        <v>216</v>
      </c>
      <c r="B217" s="1" t="s">
        <v>1064</v>
      </c>
      <c r="C217" s="1" t="s">
        <v>1150</v>
      </c>
      <c r="D217" s="46" t="s">
        <v>1257</v>
      </c>
    </row>
    <row r="218" spans="1:4">
      <c r="A218" s="1">
        <v>217</v>
      </c>
      <c r="B218" s="1" t="s">
        <v>1064</v>
      </c>
      <c r="C218" s="1" t="s">
        <v>1128</v>
      </c>
      <c r="D218" s="46" t="s">
        <v>1257</v>
      </c>
    </row>
    <row r="219" spans="1:4">
      <c r="A219" s="1">
        <v>218</v>
      </c>
      <c r="B219" s="1" t="s">
        <v>1064</v>
      </c>
      <c r="C219" s="1" t="s">
        <v>1124</v>
      </c>
      <c r="D219" s="46" t="s">
        <v>1257</v>
      </c>
    </row>
    <row r="220" spans="1:4">
      <c r="A220" s="1">
        <v>219</v>
      </c>
      <c r="B220" s="1" t="s">
        <v>1064</v>
      </c>
      <c r="C220" s="1" t="s">
        <v>1103</v>
      </c>
      <c r="D220" s="46" t="s">
        <v>1257</v>
      </c>
    </row>
    <row r="221" spans="1:4">
      <c r="A221" s="1">
        <v>220</v>
      </c>
      <c r="B221" s="1" t="s">
        <v>1064</v>
      </c>
      <c r="C221" s="1" t="s">
        <v>1149</v>
      </c>
      <c r="D221" s="46" t="s">
        <v>1216</v>
      </c>
    </row>
    <row r="222" spans="1:4" ht="27">
      <c r="A222" s="1">
        <v>221</v>
      </c>
      <c r="B222" s="1" t="s">
        <v>1064</v>
      </c>
      <c r="C222" s="1" t="s">
        <v>1119</v>
      </c>
      <c r="D222" s="46" t="s">
        <v>1217</v>
      </c>
    </row>
    <row r="223" spans="1:4" ht="40.5">
      <c r="A223" s="1">
        <v>222</v>
      </c>
      <c r="B223" s="1" t="s">
        <v>1064</v>
      </c>
      <c r="C223" s="1" t="s">
        <v>1146</v>
      </c>
      <c r="D223" s="46" t="s">
        <v>1258</v>
      </c>
    </row>
    <row r="224" spans="1:4">
      <c r="A224" s="1">
        <v>223</v>
      </c>
      <c r="B224" s="1" t="s">
        <v>1064</v>
      </c>
      <c r="C224" s="1" t="s">
        <v>1162</v>
      </c>
      <c r="D224" s="46" t="s">
        <v>1218</v>
      </c>
    </row>
    <row r="225" spans="1:4">
      <c r="A225" s="1">
        <v>224</v>
      </c>
      <c r="B225" s="1" t="s">
        <v>1064</v>
      </c>
      <c r="C225" s="1" t="s">
        <v>1121</v>
      </c>
      <c r="D225" s="46" t="s">
        <v>1219</v>
      </c>
    </row>
    <row r="226" spans="1:4">
      <c r="A226" s="1">
        <v>225</v>
      </c>
      <c r="B226" s="1" t="s">
        <v>1064</v>
      </c>
      <c r="C226" s="1" t="s">
        <v>1130</v>
      </c>
      <c r="D226" s="46" t="s">
        <v>1257</v>
      </c>
    </row>
    <row r="227" spans="1:4">
      <c r="A227" s="1">
        <v>226</v>
      </c>
      <c r="B227" s="1" t="s">
        <v>1064</v>
      </c>
      <c r="C227" s="1" t="s">
        <v>1158</v>
      </c>
      <c r="D227" s="46" t="s">
        <v>1220</v>
      </c>
    </row>
    <row r="228" spans="1:4" ht="40.5">
      <c r="A228" s="1">
        <v>227</v>
      </c>
      <c r="B228" s="1" t="s">
        <v>1064</v>
      </c>
      <c r="C228" s="1" t="s">
        <v>1127</v>
      </c>
      <c r="D228" s="46" t="s">
        <v>1259</v>
      </c>
    </row>
    <row r="229" spans="1:4">
      <c r="A229" s="1">
        <v>228</v>
      </c>
      <c r="B229" s="1" t="s">
        <v>1064</v>
      </c>
      <c r="C229" s="1" t="s">
        <v>1131</v>
      </c>
      <c r="D229" s="46" t="s">
        <v>1257</v>
      </c>
    </row>
    <row r="230" spans="1:4" ht="40.5">
      <c r="A230" s="1">
        <v>229</v>
      </c>
      <c r="B230" s="1" t="s">
        <v>1064</v>
      </c>
      <c r="C230" s="1" t="s">
        <v>1115</v>
      </c>
      <c r="D230" s="46" t="s">
        <v>1260</v>
      </c>
    </row>
    <row r="231" spans="1:4">
      <c r="A231" s="1">
        <v>230</v>
      </c>
      <c r="B231" s="1" t="s">
        <v>1064</v>
      </c>
      <c r="C231" s="1" t="s">
        <v>1123</v>
      </c>
      <c r="D231" s="46" t="s">
        <v>1257</v>
      </c>
    </row>
    <row r="232" spans="1:4">
      <c r="A232" s="1">
        <v>231</v>
      </c>
      <c r="B232" s="1" t="s">
        <v>1064</v>
      </c>
      <c r="C232" s="1" t="s">
        <v>1122</v>
      </c>
      <c r="D232" s="46" t="s">
        <v>1261</v>
      </c>
    </row>
    <row r="233" spans="1:4" ht="27">
      <c r="A233" s="1">
        <v>232</v>
      </c>
      <c r="B233" s="1" t="s">
        <v>1064</v>
      </c>
      <c r="C233" s="1" t="s">
        <v>1133</v>
      </c>
      <c r="D233" s="46" t="s">
        <v>1311</v>
      </c>
    </row>
    <row r="234" spans="1:4" ht="54">
      <c r="A234" s="1">
        <v>233</v>
      </c>
      <c r="B234" s="1" t="s">
        <v>1064</v>
      </c>
      <c r="C234" s="1" t="s">
        <v>1140</v>
      </c>
      <c r="D234" s="46" t="s">
        <v>1312</v>
      </c>
    </row>
    <row r="235" spans="1:4" ht="27">
      <c r="A235" s="1">
        <v>234</v>
      </c>
      <c r="B235" s="1" t="s">
        <v>1064</v>
      </c>
      <c r="C235" s="1" t="s">
        <v>1159</v>
      </c>
      <c r="D235" s="46" t="s">
        <v>1313</v>
      </c>
    </row>
    <row r="236" spans="1:4">
      <c r="A236" s="1">
        <v>235</v>
      </c>
      <c r="B236" s="1" t="s">
        <v>1064</v>
      </c>
      <c r="C236" s="1" t="s">
        <v>1145</v>
      </c>
      <c r="D236" s="46" t="s">
        <v>1314</v>
      </c>
    </row>
    <row r="237" spans="1:4" ht="27">
      <c r="A237" s="1">
        <v>236</v>
      </c>
      <c r="B237" s="1" t="s">
        <v>1064</v>
      </c>
      <c r="C237" s="1" t="s">
        <v>1138</v>
      </c>
      <c r="D237" s="46" t="s">
        <v>1315</v>
      </c>
    </row>
    <row r="238" spans="1:4">
      <c r="A238" s="1">
        <v>237</v>
      </c>
      <c r="B238" s="1" t="s">
        <v>1064</v>
      </c>
      <c r="C238" s="1" t="s">
        <v>1143</v>
      </c>
      <c r="D238" s="46" t="s">
        <v>1316</v>
      </c>
    </row>
    <row r="239" spans="1:4" ht="27">
      <c r="A239" s="1">
        <v>238</v>
      </c>
      <c r="B239" s="1" t="s">
        <v>1064</v>
      </c>
      <c r="C239" s="1" t="s">
        <v>1153</v>
      </c>
      <c r="D239" s="52" t="s">
        <v>1391</v>
      </c>
    </row>
    <row r="240" spans="1:4" ht="27">
      <c r="A240" s="1">
        <v>239</v>
      </c>
      <c r="B240" s="1" t="s">
        <v>1064</v>
      </c>
      <c r="C240" s="1" t="s">
        <v>1144</v>
      </c>
      <c r="D240" s="52" t="s">
        <v>1391</v>
      </c>
    </row>
    <row r="241" spans="1:4" ht="27">
      <c r="A241" s="1">
        <v>240</v>
      </c>
      <c r="B241" s="1" t="s">
        <v>1064</v>
      </c>
      <c r="C241" s="1" t="s">
        <v>1160</v>
      </c>
      <c r="D241" s="52" t="s">
        <v>1391</v>
      </c>
    </row>
    <row r="242" spans="1:4">
      <c r="A242" s="1">
        <v>241</v>
      </c>
      <c r="B242" s="1" t="s">
        <v>1064</v>
      </c>
      <c r="C242" s="1" t="s">
        <v>1135</v>
      </c>
      <c r="D242" s="46"/>
    </row>
    <row r="243" spans="1:4">
      <c r="A243" s="1">
        <v>242</v>
      </c>
      <c r="B243" s="1" t="s">
        <v>1064</v>
      </c>
      <c r="C243" s="1" t="s">
        <v>1136</v>
      </c>
      <c r="D243" s="46"/>
    </row>
    <row r="244" spans="1:4">
      <c r="A244" s="1">
        <v>243</v>
      </c>
      <c r="B244" s="1" t="s">
        <v>1064</v>
      </c>
      <c r="C244" s="1" t="s">
        <v>1132</v>
      </c>
      <c r="D244" s="46"/>
    </row>
    <row r="245" spans="1:4">
      <c r="A245" s="1">
        <v>244</v>
      </c>
      <c r="B245" s="1" t="s">
        <v>1064</v>
      </c>
      <c r="C245" s="1" t="s">
        <v>1155</v>
      </c>
      <c r="D245" s="46"/>
    </row>
    <row r="246" spans="1:4">
      <c r="A246" s="1">
        <v>245</v>
      </c>
      <c r="B246" s="1" t="s">
        <v>1064</v>
      </c>
      <c r="C246" s="1" t="s">
        <v>1152</v>
      </c>
      <c r="D246" s="46"/>
    </row>
    <row r="247" spans="1:4" ht="81">
      <c r="A247" s="1">
        <v>246</v>
      </c>
      <c r="B247" s="1" t="s">
        <v>546</v>
      </c>
      <c r="C247" s="1" t="s">
        <v>1156</v>
      </c>
      <c r="D247" s="46" t="s">
        <v>1372</v>
      </c>
    </row>
    <row r="248" spans="1:4">
      <c r="A248" s="1">
        <v>247</v>
      </c>
      <c r="B248" s="1" t="s">
        <v>546</v>
      </c>
      <c r="C248" s="1" t="s">
        <v>1175</v>
      </c>
      <c r="D248" s="46" t="s">
        <v>1308</v>
      </c>
    </row>
    <row r="249" spans="1:4" ht="27">
      <c r="A249" s="1">
        <v>248</v>
      </c>
      <c r="B249" s="1" t="s">
        <v>546</v>
      </c>
      <c r="C249" s="1" t="s">
        <v>1134</v>
      </c>
      <c r="D249" s="46" t="s">
        <v>1307</v>
      </c>
    </row>
    <row r="250" spans="1:4" ht="67.5">
      <c r="A250" s="1">
        <v>249</v>
      </c>
      <c r="B250" s="1" t="s">
        <v>546</v>
      </c>
      <c r="C250" s="1" t="s">
        <v>1141</v>
      </c>
      <c r="D250" s="46" t="s">
        <v>1392</v>
      </c>
    </row>
    <row r="251" spans="1:4" ht="67.5">
      <c r="A251" s="1">
        <v>250</v>
      </c>
      <c r="B251" s="1" t="s">
        <v>546</v>
      </c>
      <c r="C251" s="1" t="s">
        <v>1177</v>
      </c>
      <c r="D251" s="46" t="s">
        <v>1393</v>
      </c>
    </row>
    <row r="252" spans="1:4" ht="27">
      <c r="A252" s="1">
        <v>251</v>
      </c>
      <c r="B252" s="1" t="s">
        <v>546</v>
      </c>
      <c r="C252" s="1" t="s">
        <v>1148</v>
      </c>
      <c r="D252" s="52" t="s">
        <v>1391</v>
      </c>
    </row>
    <row r="253" spans="1:4" ht="27">
      <c r="A253" s="1">
        <v>252</v>
      </c>
      <c r="B253" s="1" t="s">
        <v>546</v>
      </c>
      <c r="C253" s="1" t="s">
        <v>1164</v>
      </c>
      <c r="D253" s="52" t="s">
        <v>1391</v>
      </c>
    </row>
    <row r="254" spans="1:4">
      <c r="A254" s="1">
        <v>253</v>
      </c>
      <c r="B254" s="1" t="s">
        <v>546</v>
      </c>
      <c r="C254" s="1" t="s">
        <v>1151</v>
      </c>
      <c r="D254" s="46" t="s">
        <v>1373</v>
      </c>
    </row>
    <row r="255" spans="1:4">
      <c r="A255" s="1">
        <v>254</v>
      </c>
      <c r="B255" s="1" t="s">
        <v>546</v>
      </c>
      <c r="C255" s="1" t="s">
        <v>1166</v>
      </c>
      <c r="D255" s="46" t="s">
        <v>1222</v>
      </c>
    </row>
    <row r="256" spans="1:4">
      <c r="A256" s="1">
        <v>255</v>
      </c>
      <c r="B256" s="1" t="s">
        <v>546</v>
      </c>
      <c r="C256" s="1" t="s">
        <v>1165</v>
      </c>
      <c r="D256" s="46" t="s">
        <v>1222</v>
      </c>
    </row>
    <row r="257" spans="1:4">
      <c r="A257" s="1">
        <v>256</v>
      </c>
      <c r="B257" s="1" t="s">
        <v>546</v>
      </c>
      <c r="C257" s="1" t="s">
        <v>1154</v>
      </c>
      <c r="D257" s="46" t="s">
        <v>1222</v>
      </c>
    </row>
    <row r="258" spans="1:4">
      <c r="A258" s="1">
        <v>257</v>
      </c>
      <c r="B258" s="1" t="s">
        <v>546</v>
      </c>
      <c r="C258" s="1" t="s">
        <v>1169</v>
      </c>
      <c r="D258" s="46" t="s">
        <v>1222</v>
      </c>
    </row>
    <row r="259" spans="1:4">
      <c r="A259" s="1">
        <v>258</v>
      </c>
      <c r="B259" s="1" t="s">
        <v>546</v>
      </c>
      <c r="C259" s="1" t="s">
        <v>1170</v>
      </c>
      <c r="D259" s="46" t="s">
        <v>1222</v>
      </c>
    </row>
    <row r="260" spans="1:4">
      <c r="A260" s="1">
        <v>259</v>
      </c>
      <c r="B260" s="1" t="s">
        <v>546</v>
      </c>
      <c r="C260" s="1" t="s">
        <v>1176</v>
      </c>
      <c r="D260" s="46" t="s">
        <v>1222</v>
      </c>
    </row>
    <row r="261" spans="1:4">
      <c r="A261" s="1">
        <v>260</v>
      </c>
      <c r="B261" s="1" t="s">
        <v>546</v>
      </c>
      <c r="C261" s="1" t="s">
        <v>1161</v>
      </c>
      <c r="D261" s="46" t="s">
        <v>1222</v>
      </c>
    </row>
    <row r="262" spans="1:4">
      <c r="A262" s="1">
        <v>261</v>
      </c>
      <c r="B262" s="1" t="s">
        <v>546</v>
      </c>
      <c r="C262" s="1" t="s">
        <v>1147</v>
      </c>
      <c r="D262" s="46" t="s">
        <v>1222</v>
      </c>
    </row>
    <row r="263" spans="1:4">
      <c r="A263" s="1">
        <v>262</v>
      </c>
      <c r="B263" s="1" t="s">
        <v>546</v>
      </c>
      <c r="C263" s="1" t="s">
        <v>1174</v>
      </c>
      <c r="D263" s="46" t="s">
        <v>1222</v>
      </c>
    </row>
    <row r="264" spans="1:4">
      <c r="A264" s="1">
        <v>263</v>
      </c>
      <c r="B264" s="1" t="s">
        <v>546</v>
      </c>
      <c r="C264" s="1" t="s">
        <v>1157</v>
      </c>
      <c r="D264" s="46" t="s">
        <v>1222</v>
      </c>
    </row>
    <row r="265" spans="1:4">
      <c r="A265" s="1">
        <v>264</v>
      </c>
      <c r="B265" s="1" t="s">
        <v>546</v>
      </c>
      <c r="C265" s="1" t="s">
        <v>1173</v>
      </c>
      <c r="D265" s="46" t="s">
        <v>1222</v>
      </c>
    </row>
    <row r="266" spans="1:4">
      <c r="A266" s="1">
        <v>265</v>
      </c>
      <c r="B266" s="1" t="s">
        <v>546</v>
      </c>
      <c r="C266" s="1" t="s">
        <v>1181</v>
      </c>
      <c r="D266" s="46" t="s">
        <v>1222</v>
      </c>
    </row>
    <row r="267" spans="1:4">
      <c r="A267" s="1">
        <v>266</v>
      </c>
      <c r="B267" s="1" t="s">
        <v>546</v>
      </c>
      <c r="C267" s="1" t="s">
        <v>1179</v>
      </c>
      <c r="D267" s="46"/>
    </row>
    <row r="268" spans="1:4">
      <c r="A268" s="1">
        <v>267</v>
      </c>
      <c r="B268" s="1" t="s">
        <v>546</v>
      </c>
      <c r="C268" s="1" t="s">
        <v>1030</v>
      </c>
      <c r="D268" s="46"/>
    </row>
    <row r="269" spans="1:4">
      <c r="A269" s="1">
        <v>268</v>
      </c>
      <c r="B269" s="1" t="s">
        <v>546</v>
      </c>
      <c r="C269" s="1" t="s">
        <v>1026</v>
      </c>
      <c r="D269" s="46"/>
    </row>
    <row r="270" spans="1:4">
      <c r="A270" s="1">
        <v>269</v>
      </c>
      <c r="B270" s="1" t="s">
        <v>546</v>
      </c>
      <c r="C270" s="1" t="s">
        <v>1163</v>
      </c>
      <c r="D270" s="46"/>
    </row>
    <row r="271" spans="1:4">
      <c r="A271" s="1">
        <v>270</v>
      </c>
      <c r="B271" s="1" t="s">
        <v>546</v>
      </c>
      <c r="C271" s="1" t="s">
        <v>1168</v>
      </c>
      <c r="D271" s="46" t="s">
        <v>1221</v>
      </c>
    </row>
    <row r="272" spans="1:4">
      <c r="A272" s="1">
        <v>271</v>
      </c>
      <c r="B272" s="1" t="s">
        <v>546</v>
      </c>
      <c r="C272" s="1" t="s">
        <v>1172</v>
      </c>
      <c r="D272" s="46" t="s">
        <v>1221</v>
      </c>
    </row>
    <row r="273" spans="1:4">
      <c r="A273" s="1">
        <v>272</v>
      </c>
      <c r="B273" s="1" t="s">
        <v>546</v>
      </c>
      <c r="C273" s="1" t="s">
        <v>1028</v>
      </c>
      <c r="D273" s="46" t="s">
        <v>1221</v>
      </c>
    </row>
    <row r="274" spans="1:4">
      <c r="A274" s="1">
        <v>273</v>
      </c>
      <c r="B274" s="1" t="s">
        <v>546</v>
      </c>
      <c r="C274" s="1" t="s">
        <v>1180</v>
      </c>
      <c r="D274" s="46" t="s">
        <v>1221</v>
      </c>
    </row>
    <row r="275" spans="1:4">
      <c r="A275" s="1">
        <v>274</v>
      </c>
      <c r="B275" s="1" t="s">
        <v>546</v>
      </c>
      <c r="C275" s="1" t="s">
        <v>1178</v>
      </c>
      <c r="D275" s="46" t="s">
        <v>1221</v>
      </c>
    </row>
    <row r="276" spans="1:4">
      <c r="A276" s="1">
        <v>275</v>
      </c>
      <c r="B276" s="1" t="s">
        <v>546</v>
      </c>
      <c r="C276" s="1" t="s">
        <v>1171</v>
      </c>
      <c r="D276" s="46" t="s">
        <v>1221</v>
      </c>
    </row>
    <row r="277" spans="1:4">
      <c r="A277" s="1">
        <v>276</v>
      </c>
      <c r="B277" s="1" t="s">
        <v>546</v>
      </c>
      <c r="C277" s="1" t="s">
        <v>1041</v>
      </c>
      <c r="D277" s="46" t="s">
        <v>1221</v>
      </c>
    </row>
    <row r="278" spans="1:4">
      <c r="A278" s="1">
        <v>277</v>
      </c>
      <c r="B278" s="1" t="s">
        <v>546</v>
      </c>
      <c r="C278" s="1" t="s">
        <v>1023</v>
      </c>
      <c r="D278" s="46" t="s">
        <v>1221</v>
      </c>
    </row>
    <row r="279" spans="1:4">
      <c r="A279" s="1">
        <v>278</v>
      </c>
      <c r="B279" s="1" t="s">
        <v>546</v>
      </c>
      <c r="C279" s="1" t="s">
        <v>1039</v>
      </c>
      <c r="D279" s="46" t="s">
        <v>1221</v>
      </c>
    </row>
    <row r="280" spans="1:4">
      <c r="A280" s="1">
        <v>279</v>
      </c>
      <c r="B280" s="1" t="s">
        <v>546</v>
      </c>
      <c r="C280" s="1" t="s">
        <v>1182</v>
      </c>
      <c r="D280" s="46" t="s">
        <v>1221</v>
      </c>
    </row>
    <row r="281" spans="1:4">
      <c r="A281" s="1">
        <v>280</v>
      </c>
      <c r="B281" s="1" t="s">
        <v>561</v>
      </c>
      <c r="C281" s="1" t="s">
        <v>1167</v>
      </c>
      <c r="D281" s="46" t="s">
        <v>1223</v>
      </c>
    </row>
    <row r="282" spans="1:4">
      <c r="A282" s="1">
        <v>281</v>
      </c>
      <c r="B282" s="1" t="s">
        <v>561</v>
      </c>
      <c r="C282" s="1" t="s">
        <v>1038</v>
      </c>
      <c r="D282" s="46" t="s">
        <v>1224</v>
      </c>
    </row>
    <row r="283" spans="1:4" ht="27">
      <c r="A283" s="1">
        <v>282</v>
      </c>
      <c r="B283" s="1" t="s">
        <v>561</v>
      </c>
      <c r="C283" s="1" t="s">
        <v>1021</v>
      </c>
      <c r="D283" s="46" t="s">
        <v>1225</v>
      </c>
    </row>
    <row r="284" spans="1:4" ht="27">
      <c r="A284" s="1">
        <v>283</v>
      </c>
      <c r="B284" s="1" t="s">
        <v>561</v>
      </c>
      <c r="C284" s="1" t="s">
        <v>1032</v>
      </c>
      <c r="D284" s="46" t="s">
        <v>1226</v>
      </c>
    </row>
    <row r="285" spans="1:4">
      <c r="A285" s="1">
        <v>284</v>
      </c>
      <c r="B285" s="1" t="s">
        <v>561</v>
      </c>
      <c r="C285" s="1" t="s">
        <v>1029</v>
      </c>
      <c r="D285" s="46" t="s">
        <v>1227</v>
      </c>
    </row>
    <row r="286" spans="1:4" ht="54">
      <c r="A286" s="1">
        <v>285</v>
      </c>
      <c r="B286" s="1" t="s">
        <v>561</v>
      </c>
      <c r="C286" s="1" t="s">
        <v>1043</v>
      </c>
      <c r="D286" s="46" t="s">
        <v>1228</v>
      </c>
    </row>
    <row r="287" spans="1:4">
      <c r="A287" s="1">
        <v>286</v>
      </c>
      <c r="B287" s="1" t="s">
        <v>561</v>
      </c>
      <c r="C287" s="1" t="s">
        <v>1027</v>
      </c>
      <c r="D287" s="46" t="s">
        <v>1229</v>
      </c>
    </row>
    <row r="288" spans="1:4">
      <c r="A288" s="1">
        <v>287</v>
      </c>
      <c r="B288" s="1" t="s">
        <v>561</v>
      </c>
      <c r="C288" s="1" t="s">
        <v>1034</v>
      </c>
      <c r="D288" s="46" t="s">
        <v>1230</v>
      </c>
    </row>
    <row r="289" spans="1:4" ht="27">
      <c r="A289" s="1">
        <v>288</v>
      </c>
      <c r="B289" s="1" t="s">
        <v>561</v>
      </c>
      <c r="C289" s="1" t="s">
        <v>1049</v>
      </c>
      <c r="D289" s="46" t="s">
        <v>1226</v>
      </c>
    </row>
    <row r="290" spans="1:4">
      <c r="A290" s="1">
        <v>289</v>
      </c>
      <c r="B290" s="1" t="s">
        <v>561</v>
      </c>
      <c r="C290" s="1" t="s">
        <v>1024</v>
      </c>
      <c r="D290" s="46" t="s">
        <v>1231</v>
      </c>
    </row>
    <row r="291" spans="1:4">
      <c r="A291" s="1">
        <v>290</v>
      </c>
      <c r="B291" s="1" t="s">
        <v>561</v>
      </c>
      <c r="C291" s="1" t="s">
        <v>1042</v>
      </c>
      <c r="D291" s="46" t="s">
        <v>1232</v>
      </c>
    </row>
    <row r="292" spans="1:4">
      <c r="A292" s="1">
        <v>291</v>
      </c>
      <c r="B292" s="1" t="s">
        <v>561</v>
      </c>
      <c r="C292" s="1" t="s">
        <v>1020</v>
      </c>
      <c r="D292" s="46" t="s">
        <v>1233</v>
      </c>
    </row>
    <row r="293" spans="1:4" ht="27">
      <c r="A293" s="1">
        <v>292</v>
      </c>
      <c r="B293" s="1" t="s">
        <v>561</v>
      </c>
      <c r="C293" s="1" t="s">
        <v>1057</v>
      </c>
      <c r="D293" s="46" t="s">
        <v>1234</v>
      </c>
    </row>
    <row r="294" spans="1:4" ht="27">
      <c r="A294" s="1">
        <v>293</v>
      </c>
      <c r="B294" s="1" t="s">
        <v>561</v>
      </c>
      <c r="C294" s="1" t="s">
        <v>1058</v>
      </c>
      <c r="D294" s="46" t="s">
        <v>1235</v>
      </c>
    </row>
    <row r="295" spans="1:4">
      <c r="A295" s="1">
        <v>294</v>
      </c>
      <c r="B295" s="1" t="s">
        <v>561</v>
      </c>
      <c r="C295" s="1" t="s">
        <v>1022</v>
      </c>
      <c r="D295" s="46" t="s">
        <v>1236</v>
      </c>
    </row>
    <row r="296" spans="1:4">
      <c r="A296" s="1">
        <v>295</v>
      </c>
      <c r="B296" s="1" t="s">
        <v>561</v>
      </c>
      <c r="C296" s="1" t="s">
        <v>1044</v>
      </c>
      <c r="D296" s="46" t="s">
        <v>1237</v>
      </c>
    </row>
    <row r="297" spans="1:4">
      <c r="A297" s="1">
        <v>296</v>
      </c>
      <c r="B297" s="1" t="s">
        <v>561</v>
      </c>
      <c r="C297" s="1" t="s">
        <v>1113</v>
      </c>
      <c r="D297" s="46" t="s">
        <v>1238</v>
      </c>
    </row>
    <row r="298" spans="1:4">
      <c r="A298" s="1">
        <v>297</v>
      </c>
      <c r="B298" s="1" t="s">
        <v>561</v>
      </c>
      <c r="C298" s="1" t="s">
        <v>1094</v>
      </c>
      <c r="D298" s="46" t="s">
        <v>1239</v>
      </c>
    </row>
    <row r="299" spans="1:4">
      <c r="A299" s="1">
        <v>298</v>
      </c>
      <c r="B299" s="1" t="s">
        <v>561</v>
      </c>
      <c r="C299" s="1" t="s">
        <v>1087</v>
      </c>
      <c r="D299" s="46"/>
    </row>
    <row r="300" spans="1:4">
      <c r="A300" s="1">
        <v>299</v>
      </c>
      <c r="B300" s="1" t="s">
        <v>561</v>
      </c>
      <c r="C300" s="1" t="s">
        <v>1111</v>
      </c>
      <c r="D300" s="46"/>
    </row>
    <row r="301" spans="1:4">
      <c r="A301" s="1">
        <v>300</v>
      </c>
      <c r="B301" s="1" t="s">
        <v>561</v>
      </c>
      <c r="C301" s="1" t="s">
        <v>1099</v>
      </c>
      <c r="D301" s="46" t="s">
        <v>1238</v>
      </c>
    </row>
    <row r="302" spans="1:4">
      <c r="A302" s="1">
        <v>301</v>
      </c>
      <c r="B302" s="1" t="s">
        <v>561</v>
      </c>
      <c r="C302" s="1" t="s">
        <v>1090</v>
      </c>
      <c r="D302" s="46"/>
    </row>
    <row r="303" spans="1:4">
      <c r="A303" s="1">
        <v>302</v>
      </c>
      <c r="B303" s="1" t="s">
        <v>561</v>
      </c>
      <c r="C303" s="1" t="s">
        <v>1114</v>
      </c>
      <c r="D303" s="46"/>
    </row>
    <row r="304" spans="1:4">
      <c r="A304" s="1">
        <v>303</v>
      </c>
      <c r="B304" s="1" t="s">
        <v>561</v>
      </c>
      <c r="C304" s="1" t="s">
        <v>1025</v>
      </c>
      <c r="D304" s="46"/>
    </row>
    <row r="305" spans="1:4">
      <c r="A305" s="1">
        <v>304</v>
      </c>
      <c r="B305" s="1" t="s">
        <v>561</v>
      </c>
      <c r="C305" s="1" t="s">
        <v>1100</v>
      </c>
      <c r="D305" s="46"/>
    </row>
    <row r="306" spans="1:4">
      <c r="A306" s="1">
        <v>305</v>
      </c>
      <c r="B306" s="1" t="s">
        <v>561</v>
      </c>
      <c r="C306" s="1" t="s">
        <v>1035</v>
      </c>
      <c r="D306" s="46" t="s">
        <v>1238</v>
      </c>
    </row>
    <row r="307" spans="1:4">
      <c r="A307" s="1">
        <v>306</v>
      </c>
      <c r="B307" s="1" t="s">
        <v>561</v>
      </c>
      <c r="C307" s="1" t="s">
        <v>1051</v>
      </c>
      <c r="D307" s="46"/>
    </row>
    <row r="308" spans="1:4">
      <c r="A308" s="1">
        <v>307</v>
      </c>
      <c r="B308" s="1" t="s">
        <v>561</v>
      </c>
      <c r="C308" s="1" t="s">
        <v>1059</v>
      </c>
      <c r="D308" s="46" t="s">
        <v>1238</v>
      </c>
    </row>
    <row r="309" spans="1:4">
      <c r="A309" s="1">
        <v>308</v>
      </c>
      <c r="B309" s="1" t="s">
        <v>561</v>
      </c>
      <c r="C309" s="1" t="s">
        <v>1056</v>
      </c>
      <c r="D309" s="46"/>
    </row>
    <row r="310" spans="1:4">
      <c r="A310" s="1">
        <v>309</v>
      </c>
      <c r="B310" s="1" t="s">
        <v>561</v>
      </c>
      <c r="C310" s="1" t="s">
        <v>1036</v>
      </c>
      <c r="D310" s="46"/>
    </row>
    <row r="311" spans="1:4">
      <c r="A311" s="1">
        <v>310</v>
      </c>
      <c r="B311" s="1" t="s">
        <v>561</v>
      </c>
      <c r="C311" s="1" t="s">
        <v>778</v>
      </c>
      <c r="D311" s="46"/>
    </row>
    <row r="312" spans="1:4">
      <c r="A312" s="1">
        <v>311</v>
      </c>
      <c r="B312" s="1" t="s">
        <v>561</v>
      </c>
      <c r="C312" s="1" t="s">
        <v>1040</v>
      </c>
      <c r="D312" s="46" t="s">
        <v>1238</v>
      </c>
    </row>
    <row r="313" spans="1:4">
      <c r="A313" s="1">
        <v>312</v>
      </c>
      <c r="B313" s="1" t="s">
        <v>561</v>
      </c>
      <c r="C313" s="1" t="s">
        <v>1055</v>
      </c>
      <c r="D313" s="46" t="s">
        <v>1240</v>
      </c>
    </row>
    <row r="314" spans="1:4">
      <c r="A314" s="1">
        <v>313</v>
      </c>
      <c r="B314" s="1" t="s">
        <v>561</v>
      </c>
      <c r="C314" s="1" t="s">
        <v>1033</v>
      </c>
      <c r="D314" s="46" t="s">
        <v>1191</v>
      </c>
    </row>
    <row r="315" spans="1:4">
      <c r="A315" s="1">
        <v>314</v>
      </c>
      <c r="B315" s="1" t="s">
        <v>561</v>
      </c>
      <c r="C315" s="1" t="s">
        <v>1037</v>
      </c>
      <c r="D315" s="46" t="s">
        <v>1191</v>
      </c>
    </row>
    <row r="316" spans="1:4">
      <c r="A316" s="1">
        <v>315</v>
      </c>
      <c r="B316" s="1" t="s">
        <v>561</v>
      </c>
      <c r="C316" s="1" t="s">
        <v>779</v>
      </c>
      <c r="D316" s="46" t="s">
        <v>1191</v>
      </c>
    </row>
    <row r="317" spans="1:4">
      <c r="A317" s="1">
        <v>316</v>
      </c>
      <c r="B317" s="1" t="s">
        <v>561</v>
      </c>
      <c r="C317" s="1" t="s">
        <v>1093</v>
      </c>
      <c r="D317" s="46" t="s">
        <v>1263</v>
      </c>
    </row>
    <row r="318" spans="1:4">
      <c r="A318" s="1">
        <v>317</v>
      </c>
      <c r="B318" s="1" t="s">
        <v>561</v>
      </c>
      <c r="C318" s="1" t="s">
        <v>1031</v>
      </c>
      <c r="D318" s="46"/>
    </row>
    <row r="319" spans="1:4">
      <c r="A319" s="1">
        <v>318</v>
      </c>
      <c r="B319" s="1" t="s">
        <v>561</v>
      </c>
      <c r="C319" s="1" t="s">
        <v>1085</v>
      </c>
      <c r="D319" s="46"/>
    </row>
    <row r="320" spans="1:4">
      <c r="A320" s="1">
        <v>319</v>
      </c>
      <c r="B320" s="1" t="s">
        <v>561</v>
      </c>
      <c r="C320" s="1" t="s">
        <v>1096</v>
      </c>
      <c r="D320" s="46"/>
    </row>
    <row r="321" spans="1:4">
      <c r="A321" s="1">
        <v>320</v>
      </c>
      <c r="B321" s="1" t="s">
        <v>561</v>
      </c>
      <c r="C321" s="1" t="s">
        <v>1088</v>
      </c>
      <c r="D321" s="46" t="s">
        <v>1241</v>
      </c>
    </row>
    <row r="322" spans="1:4">
      <c r="A322" s="1">
        <v>321</v>
      </c>
      <c r="B322" s="1" t="s">
        <v>561</v>
      </c>
      <c r="C322" s="1" t="s">
        <v>799</v>
      </c>
      <c r="D322" s="46"/>
    </row>
    <row r="323" spans="1:4">
      <c r="A323" s="1">
        <v>322</v>
      </c>
      <c r="B323" s="1" t="s">
        <v>561</v>
      </c>
      <c r="C323" s="1" t="s">
        <v>775</v>
      </c>
      <c r="D323" s="46" t="s">
        <v>1242</v>
      </c>
    </row>
    <row r="324" spans="1:4">
      <c r="A324" s="1">
        <v>323</v>
      </c>
      <c r="B324" s="1" t="s">
        <v>561</v>
      </c>
      <c r="C324" s="1" t="s">
        <v>777</v>
      </c>
      <c r="D324" s="46"/>
    </row>
    <row r="325" spans="1:4">
      <c r="A325" s="1">
        <v>324</v>
      </c>
      <c r="B325" s="1" t="s">
        <v>561</v>
      </c>
      <c r="C325" s="1" t="s">
        <v>780</v>
      </c>
      <c r="D325" s="46"/>
    </row>
    <row r="326" spans="1:4" ht="27">
      <c r="A326" s="1">
        <v>325</v>
      </c>
      <c r="B326" s="1" t="s">
        <v>561</v>
      </c>
      <c r="C326" s="1" t="s">
        <v>774</v>
      </c>
      <c r="D326" s="46" t="s">
        <v>1243</v>
      </c>
    </row>
    <row r="327" spans="1:4" ht="27">
      <c r="A327" s="1">
        <v>326</v>
      </c>
      <c r="B327" s="1" t="s">
        <v>561</v>
      </c>
      <c r="C327" s="1" t="s">
        <v>796</v>
      </c>
      <c r="D327" s="46" t="s">
        <v>1244</v>
      </c>
    </row>
    <row r="328" spans="1:4">
      <c r="A328" s="1">
        <v>327</v>
      </c>
      <c r="B328" s="1" t="s">
        <v>553</v>
      </c>
      <c r="C328" s="1" t="s">
        <v>783</v>
      </c>
      <c r="D328" s="46"/>
    </row>
    <row r="329" spans="1:4">
      <c r="A329" s="1">
        <v>328</v>
      </c>
      <c r="B329" s="1" t="s">
        <v>553</v>
      </c>
      <c r="C329" s="1" t="s">
        <v>788</v>
      </c>
      <c r="D329" s="46"/>
    </row>
    <row r="330" spans="1:4">
      <c r="A330" s="1">
        <v>329</v>
      </c>
      <c r="B330" s="1" t="s">
        <v>553</v>
      </c>
      <c r="C330" s="1" t="s">
        <v>781</v>
      </c>
      <c r="D330" s="46"/>
    </row>
    <row r="331" spans="1:4">
      <c r="A331" s="1">
        <v>330</v>
      </c>
      <c r="B331" s="1" t="s">
        <v>553</v>
      </c>
      <c r="C331" s="1" t="s">
        <v>782</v>
      </c>
      <c r="D331" s="46"/>
    </row>
    <row r="332" spans="1:4">
      <c r="A332" s="1">
        <v>331</v>
      </c>
      <c r="B332" s="1" t="s">
        <v>553</v>
      </c>
      <c r="C332" s="1" t="s">
        <v>815</v>
      </c>
      <c r="D332" s="46"/>
    </row>
    <row r="333" spans="1:4">
      <c r="A333" s="1">
        <v>332</v>
      </c>
      <c r="B333" s="1" t="s">
        <v>553</v>
      </c>
      <c r="C333" s="1" t="s">
        <v>792</v>
      </c>
      <c r="D333" s="46"/>
    </row>
    <row r="334" spans="1:4">
      <c r="A334" s="1">
        <v>333</v>
      </c>
      <c r="B334" s="1" t="s">
        <v>553</v>
      </c>
      <c r="C334" s="1" t="s">
        <v>790</v>
      </c>
      <c r="D334" s="46"/>
    </row>
    <row r="335" spans="1:4">
      <c r="A335" s="1">
        <v>334</v>
      </c>
      <c r="B335" s="1" t="s">
        <v>553</v>
      </c>
      <c r="C335" s="1" t="s">
        <v>773</v>
      </c>
      <c r="D335" s="46"/>
    </row>
    <row r="336" spans="1:4">
      <c r="A336" s="1">
        <v>335</v>
      </c>
      <c r="B336" s="1" t="s">
        <v>553</v>
      </c>
      <c r="C336" s="1" t="s">
        <v>776</v>
      </c>
      <c r="D336" s="46"/>
    </row>
    <row r="337" spans="1:4">
      <c r="A337" s="1">
        <v>336</v>
      </c>
      <c r="B337" s="1" t="s">
        <v>553</v>
      </c>
      <c r="C337" s="1" t="s">
        <v>795</v>
      </c>
      <c r="D337" s="46"/>
    </row>
    <row r="338" spans="1:4">
      <c r="A338" s="1">
        <v>337</v>
      </c>
      <c r="B338" s="1" t="s">
        <v>553</v>
      </c>
      <c r="C338" s="1" t="s">
        <v>794</v>
      </c>
      <c r="D338" s="46"/>
    </row>
    <row r="339" spans="1:4">
      <c r="A339" s="1">
        <v>338</v>
      </c>
      <c r="B339" s="1" t="s">
        <v>553</v>
      </c>
      <c r="C339" s="1" t="s">
        <v>787</v>
      </c>
      <c r="D339" s="46"/>
    </row>
    <row r="340" spans="1:4" ht="27">
      <c r="A340" s="1">
        <v>339</v>
      </c>
      <c r="B340" s="1" t="s">
        <v>553</v>
      </c>
      <c r="C340" s="1" t="s">
        <v>786</v>
      </c>
      <c r="D340" s="46" t="s">
        <v>1245</v>
      </c>
    </row>
    <row r="341" spans="1:4">
      <c r="A341" s="1">
        <v>340</v>
      </c>
      <c r="B341" s="1" t="s">
        <v>553</v>
      </c>
      <c r="C341" s="1" t="s">
        <v>797</v>
      </c>
      <c r="D341" s="46" t="s">
        <v>1246</v>
      </c>
    </row>
    <row r="342" spans="1:4" ht="27">
      <c r="A342" s="1">
        <v>341</v>
      </c>
      <c r="B342" s="1" t="s">
        <v>553</v>
      </c>
      <c r="C342" s="1" t="s">
        <v>789</v>
      </c>
      <c r="D342" s="46" t="s">
        <v>1247</v>
      </c>
    </row>
    <row r="343" spans="1:4">
      <c r="A343" s="1">
        <v>342</v>
      </c>
      <c r="B343" s="1" t="s">
        <v>553</v>
      </c>
      <c r="C343" s="1" t="s">
        <v>816</v>
      </c>
      <c r="D343" s="46" t="s">
        <v>1248</v>
      </c>
    </row>
    <row r="344" spans="1:4" ht="27">
      <c r="A344" s="1">
        <v>343</v>
      </c>
      <c r="B344" s="1" t="s">
        <v>553</v>
      </c>
      <c r="C344" s="1" t="s">
        <v>785</v>
      </c>
      <c r="D344" s="46" t="s">
        <v>1249</v>
      </c>
    </row>
    <row r="345" spans="1:4" ht="40.5">
      <c r="A345" s="1">
        <v>344</v>
      </c>
      <c r="B345" s="1" t="s">
        <v>553</v>
      </c>
      <c r="C345" s="1" t="s">
        <v>791</v>
      </c>
      <c r="D345" s="46" t="s">
        <v>1250</v>
      </c>
    </row>
    <row r="346" spans="1:4">
      <c r="A346" s="1">
        <v>345</v>
      </c>
      <c r="B346" s="1" t="s">
        <v>553</v>
      </c>
      <c r="C346" s="1" t="s">
        <v>802</v>
      </c>
      <c r="D346" s="46"/>
    </row>
    <row r="347" spans="1:4" ht="54">
      <c r="A347" s="1">
        <v>346</v>
      </c>
      <c r="B347" s="1" t="s">
        <v>553</v>
      </c>
      <c r="C347" s="1" t="s">
        <v>800</v>
      </c>
      <c r="D347" s="46" t="s">
        <v>1394</v>
      </c>
    </row>
    <row r="348" spans="1:4">
      <c r="A348" s="1">
        <v>347</v>
      </c>
      <c r="B348" s="1" t="s">
        <v>553</v>
      </c>
      <c r="C348" s="1" t="s">
        <v>801</v>
      </c>
      <c r="D348" s="46" t="s">
        <v>1251</v>
      </c>
    </row>
    <row r="349" spans="1:4">
      <c r="A349" s="1">
        <v>348</v>
      </c>
      <c r="B349" s="1" t="s">
        <v>553</v>
      </c>
      <c r="C349" s="1" t="s">
        <v>798</v>
      </c>
      <c r="D349" s="46" t="s">
        <v>1251</v>
      </c>
    </row>
    <row r="350" spans="1:4" ht="27">
      <c r="A350" s="1">
        <v>349</v>
      </c>
      <c r="B350" s="1" t="s">
        <v>553</v>
      </c>
      <c r="C350" s="1" t="s">
        <v>811</v>
      </c>
      <c r="D350" s="46" t="s">
        <v>1262</v>
      </c>
    </row>
    <row r="351" spans="1:4" ht="27">
      <c r="A351" s="1">
        <v>350</v>
      </c>
      <c r="B351" s="1" t="s">
        <v>553</v>
      </c>
      <c r="C351" s="1" t="s">
        <v>812</v>
      </c>
      <c r="D351" s="46" t="s">
        <v>1262</v>
      </c>
    </row>
    <row r="352" spans="1:4" ht="27">
      <c r="A352" s="1">
        <v>351</v>
      </c>
      <c r="B352" s="1" t="s">
        <v>553</v>
      </c>
      <c r="C352" s="1" t="s">
        <v>793</v>
      </c>
      <c r="D352" s="46" t="s">
        <v>1262</v>
      </c>
    </row>
    <row r="353" spans="1:4" ht="27">
      <c r="A353" s="1">
        <v>352</v>
      </c>
      <c r="B353" s="1" t="s">
        <v>553</v>
      </c>
      <c r="C353" s="1" t="s">
        <v>810</v>
      </c>
      <c r="D353" s="46" t="s">
        <v>1262</v>
      </c>
    </row>
    <row r="354" spans="1:4" ht="27">
      <c r="A354" s="1">
        <v>353</v>
      </c>
      <c r="B354" s="1" t="s">
        <v>553</v>
      </c>
      <c r="C354" s="1" t="s">
        <v>784</v>
      </c>
      <c r="D354" s="46" t="s">
        <v>1252</v>
      </c>
    </row>
    <row r="355" spans="1:4" ht="27">
      <c r="A355" s="1">
        <v>354</v>
      </c>
      <c r="B355" s="1" t="s">
        <v>553</v>
      </c>
      <c r="C355" s="1" t="s">
        <v>804</v>
      </c>
      <c r="D355" s="46" t="s">
        <v>1253</v>
      </c>
    </row>
    <row r="356" spans="1:4" ht="40.5">
      <c r="A356" s="1">
        <v>355</v>
      </c>
      <c r="B356" s="1" t="s">
        <v>553</v>
      </c>
      <c r="C356" s="1" t="s">
        <v>826</v>
      </c>
      <c r="D356" s="46" t="s">
        <v>1254</v>
      </c>
    </row>
    <row r="357" spans="1:4">
      <c r="A357" s="1">
        <v>356</v>
      </c>
      <c r="B357" s="1" t="s">
        <v>553</v>
      </c>
      <c r="C357" s="1" t="s">
        <v>823</v>
      </c>
      <c r="D357" s="46" t="s">
        <v>1255</v>
      </c>
    </row>
    <row r="358" spans="1:4">
      <c r="A358" s="1">
        <v>357</v>
      </c>
      <c r="B358" s="1" t="s">
        <v>553</v>
      </c>
      <c r="C358" s="1" t="s">
        <v>818</v>
      </c>
      <c r="D358" s="46"/>
    </row>
    <row r="359" spans="1:4">
      <c r="A359" s="1">
        <v>358</v>
      </c>
      <c r="B359" s="1" t="s">
        <v>553</v>
      </c>
      <c r="C359" s="1" t="s">
        <v>828</v>
      </c>
      <c r="D359" s="46"/>
    </row>
    <row r="360" spans="1:4">
      <c r="A360" s="1">
        <v>359</v>
      </c>
      <c r="B360" s="1" t="s">
        <v>553</v>
      </c>
      <c r="C360" s="1" t="s">
        <v>806</v>
      </c>
      <c r="D360" s="46"/>
    </row>
    <row r="361" spans="1:4">
      <c r="A361" s="1">
        <v>360</v>
      </c>
      <c r="B361" s="1" t="s">
        <v>553</v>
      </c>
      <c r="C361" s="1" t="s">
        <v>807</v>
      </c>
      <c r="D361" s="46"/>
    </row>
    <row r="362" spans="1:4">
      <c r="A362" s="1">
        <v>361</v>
      </c>
      <c r="B362" s="1" t="s">
        <v>553</v>
      </c>
      <c r="C362" s="1" t="s">
        <v>805</v>
      </c>
      <c r="D362" s="46"/>
    </row>
    <row r="363" spans="1:4">
      <c r="A363" s="1">
        <v>362</v>
      </c>
      <c r="B363" s="1" t="s">
        <v>553</v>
      </c>
      <c r="C363" s="1" t="s">
        <v>808</v>
      </c>
      <c r="D363" s="46"/>
    </row>
    <row r="364" spans="1:4" ht="40.5">
      <c r="A364" s="1">
        <v>363</v>
      </c>
      <c r="B364" s="1" t="s">
        <v>553</v>
      </c>
      <c r="C364" s="1" t="s">
        <v>803</v>
      </c>
      <c r="D364" s="46" t="s">
        <v>1256</v>
      </c>
    </row>
    <row r="365" spans="1:4">
      <c r="A365" s="1">
        <v>364</v>
      </c>
      <c r="B365" s="1" t="s">
        <v>553</v>
      </c>
      <c r="C365" s="1" t="s">
        <v>809</v>
      </c>
      <c r="D365" s="46"/>
    </row>
    <row r="366" spans="1:4">
      <c r="A366" s="1">
        <v>365</v>
      </c>
      <c r="B366" s="1" t="s">
        <v>553</v>
      </c>
      <c r="C366" s="1" t="s">
        <v>814</v>
      </c>
      <c r="D366" s="46"/>
    </row>
    <row r="367" spans="1:4">
      <c r="A367" s="1">
        <v>366</v>
      </c>
      <c r="B367" s="1" t="s">
        <v>553</v>
      </c>
      <c r="C367" s="1" t="s">
        <v>831</v>
      </c>
      <c r="D367" s="46"/>
    </row>
    <row r="368" spans="1:4">
      <c r="A368" s="1">
        <v>367</v>
      </c>
      <c r="B368" s="1" t="s">
        <v>553</v>
      </c>
      <c r="C368" s="1" t="s">
        <v>819</v>
      </c>
      <c r="D368" s="46"/>
    </row>
    <row r="369" spans="1:4">
      <c r="A369" s="1">
        <v>368</v>
      </c>
      <c r="B369" s="1" t="s">
        <v>553</v>
      </c>
      <c r="C369" s="1" t="s">
        <v>813</v>
      </c>
      <c r="D369" s="46"/>
    </row>
    <row r="370" spans="1:4">
      <c r="A370" s="1">
        <v>369</v>
      </c>
      <c r="B370" s="1" t="s">
        <v>553</v>
      </c>
      <c r="C370" s="1" t="s">
        <v>820</v>
      </c>
      <c r="D370" s="46"/>
    </row>
    <row r="371" spans="1:4">
      <c r="A371" s="1">
        <v>370</v>
      </c>
      <c r="B371" s="1" t="s">
        <v>553</v>
      </c>
      <c r="C371" s="1" t="s">
        <v>824</v>
      </c>
      <c r="D371" s="46"/>
    </row>
    <row r="372" spans="1:4">
      <c r="A372" s="1">
        <v>371</v>
      </c>
      <c r="B372" s="1" t="s">
        <v>553</v>
      </c>
      <c r="C372" s="1" t="s">
        <v>822</v>
      </c>
      <c r="D372" s="46"/>
    </row>
    <row r="373" spans="1:4">
      <c r="A373" s="1">
        <v>372</v>
      </c>
      <c r="B373" s="1" t="s">
        <v>553</v>
      </c>
      <c r="C373" s="1" t="s">
        <v>842</v>
      </c>
      <c r="D373" s="46"/>
    </row>
    <row r="374" spans="1:4">
      <c r="A374" s="1">
        <v>373</v>
      </c>
      <c r="B374" s="1" t="s">
        <v>553</v>
      </c>
      <c r="C374" s="1" t="s">
        <v>829</v>
      </c>
      <c r="D374" s="46"/>
    </row>
    <row r="375" spans="1:4">
      <c r="A375" s="1">
        <v>374</v>
      </c>
      <c r="B375" s="1" t="s">
        <v>553</v>
      </c>
      <c r="C375" s="1" t="s">
        <v>827</v>
      </c>
      <c r="D375" s="46"/>
    </row>
    <row r="376" spans="1:4">
      <c r="A376" s="1">
        <v>375</v>
      </c>
      <c r="B376" s="1" t="s">
        <v>553</v>
      </c>
      <c r="C376" s="1" t="s">
        <v>821</v>
      </c>
      <c r="D376" s="46"/>
    </row>
    <row r="377" spans="1:4">
      <c r="A377" s="1">
        <v>376</v>
      </c>
      <c r="B377" s="1" t="s">
        <v>553</v>
      </c>
      <c r="C377" s="1" t="s">
        <v>830</v>
      </c>
      <c r="D377" s="46"/>
    </row>
  </sheetData>
  <autoFilter ref="A1:D377"/>
  <customSheetViews>
    <customSheetView guid="{2940EC69-0E40-4162-8549-ED35AA338A49}" scale="85" showGridLines="0" fitToPage="1" showAutoFilter="1" state="hidden">
      <pane ySplit="1" topLeftCell="A222" activePane="bottomLeft" state="frozen"/>
      <selection pane="bottomLeft" activeCell="D234" sqref="D234"/>
      <pageMargins left="0.69972223043441772" right="0.69972223043441772" top="0.75" bottom="0.75" header="0.30000001192092896" footer="0.30000001192092896"/>
      <pageSetup paperSize="9" scale="35" fitToHeight="0" orientation="landscape" r:id="rId1"/>
      <autoFilter ref="A1:D377"/>
    </customSheetView>
    <customSheetView guid="{795AB5AE-C53F-4700-AA4F-485409291E6B}" scale="85" showGridLines="0" fitToPage="1" showAutoFilter="1" state="hidden">
      <pane ySplit="1" topLeftCell="A222" activePane="bottomLeft" state="frozen"/>
      <selection pane="bottomLeft" activeCell="D234" sqref="D234"/>
      <pageMargins left="0.69972223043441772" right="0.69972223043441772" top="0.75" bottom="0.75" header="0.30000001192092896" footer="0.30000001192092896"/>
      <pageSetup paperSize="9" scale="35" fitToHeight="0" orientation="landscape" r:id="rId2"/>
      <autoFilter ref="A1:D377"/>
    </customSheetView>
    <customSheetView guid="{C0B3E00A-6A64-4A32-8796-BF55C9AAD4EA}" scale="85" showGridLines="0" fitToPage="1" showAutoFilter="1" state="hidden">
      <pane ySplit="1" topLeftCell="A222" activePane="bottomLeft" state="frozen"/>
      <selection pane="bottomLeft" activeCell="D234" sqref="D234"/>
      <pageMargins left="0.69972223043441772" right="0.69972223043441772" top="0.75" bottom="0.75" header="0.30000001192092896" footer="0.30000001192092896"/>
      <pageSetup paperSize="9" scale="35" fitToHeight="0" orientation="landscape" r:id="rId3"/>
      <autoFilter ref="A1:D377"/>
    </customSheetView>
    <customSheetView guid="{EB4CA770-1436-4E3D-889F-30E34BABACCC}" scale="85" showGridLines="0" fitToPage="1" showAutoFilter="1" state="hidden">
      <pane ySplit="1" topLeftCell="A222" activePane="bottomLeft" state="frozen"/>
      <selection pane="bottomLeft" activeCell="D234" sqref="D234"/>
      <pageMargins left="0.69972223043441772" right="0.69972223043441772" top="0.75" bottom="0.75" header="0.30000001192092896" footer="0.30000001192092896"/>
      <pageSetup paperSize="9" scale="35" fitToHeight="0" orientation="landscape" r:id="rId4"/>
      <autoFilter ref="A1:D377"/>
    </customSheetView>
    <customSheetView guid="{2A8CFD2D-F9CC-4306-8A26-A82C68617360}" scale="85" showGridLines="0" fitToPage="1" showAutoFilter="1" state="hidden">
      <pane ySplit="1" topLeftCell="A222" activePane="bottomLeft" state="frozen"/>
      <selection pane="bottomLeft" activeCell="D234" sqref="D234"/>
      <pageMargins left="0.69972223043441772" right="0.69972223043441772" top="0.75" bottom="0.75" header="0.30000001192092896" footer="0.30000001192092896"/>
      <pageSetup paperSize="9" scale="35" fitToHeight="0" orientation="landscape" r:id="rId5"/>
      <autoFilter ref="A1:D377"/>
    </customSheetView>
    <customSheetView guid="{70346E6A-FAEE-4C37-A89C-D6DC7354E054}" scale="85" showGridLines="0" fitToPage="1" showAutoFilter="1" state="hidden">
      <pane ySplit="1" topLeftCell="A222" activePane="bottomLeft" state="frozen"/>
      <selection pane="bottomLeft" activeCell="D234" sqref="D234"/>
      <pageMargins left="0.69972223043441772" right="0.69972223043441772" top="0.75" bottom="0.75" header="0.30000001192092896" footer="0.30000001192092896"/>
      <pageSetup paperSize="9" scale="35" fitToHeight="0" orientation="landscape" r:id="rId6"/>
      <autoFilter ref="A1:D377"/>
    </customSheetView>
  </customSheetViews>
  <phoneticPr fontId="13" type="noConversion"/>
  <pageMargins left="0.69972223043441772" right="0.69972223043441772" top="0.75" bottom="0.75" header="0.30000001192092896" footer="0.30000001192092896"/>
  <pageSetup paperSize="9" scale="35" fitToHeight="0" orientation="landscape"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T14"/>
  <sheetViews>
    <sheetView showGridLines="0" topLeftCell="B1" zoomScaleNormal="100" zoomScaleSheetLayoutView="75" workbookViewId="0">
      <pane ySplit="1" topLeftCell="A2" activePane="bottomLeft" state="frozen"/>
      <selection activeCell="B1" sqref="B1"/>
      <selection pane="bottomLeft" activeCell="E6" sqref="E6"/>
    </sheetView>
  </sheetViews>
  <sheetFormatPr defaultColWidth="9" defaultRowHeight="16.5"/>
  <cols>
    <col min="1" max="1" width="5.625" customWidth="1"/>
    <col min="2" max="2" width="15.625" customWidth="1"/>
    <col min="3" max="3" width="10.625" customWidth="1"/>
    <col min="4" max="4" width="10.625" hidden="1" customWidth="1"/>
    <col min="5" max="5" width="15.625" customWidth="1"/>
    <col min="6" max="6" width="25.625" customWidth="1"/>
    <col min="7" max="8" width="50.625" customWidth="1"/>
    <col min="9" max="12" width="10.625" style="31" customWidth="1"/>
    <col min="13" max="14" width="30.625" customWidth="1"/>
    <col min="15" max="16" width="10.625" style="31" customWidth="1"/>
    <col min="17" max="17" width="20.625" customWidth="1"/>
    <col min="18" max="18" width="39" hidden="1" customWidth="1"/>
    <col min="19" max="19" width="21.875" hidden="1" customWidth="1"/>
    <col min="20" max="20" width="23.625" hidden="1" customWidth="1"/>
  </cols>
  <sheetData>
    <row r="1" spans="1:20" s="8" customFormat="1" ht="30" customHeight="1">
      <c r="A1" s="7" t="s">
        <v>132</v>
      </c>
      <c r="B1" s="7" t="s">
        <v>134</v>
      </c>
      <c r="C1" s="7" t="s">
        <v>451</v>
      </c>
      <c r="D1" s="7" t="s">
        <v>459</v>
      </c>
      <c r="E1" s="9" t="s">
        <v>1083</v>
      </c>
      <c r="F1" s="7" t="s">
        <v>538</v>
      </c>
      <c r="G1" s="7" t="s">
        <v>448</v>
      </c>
      <c r="H1" s="7" t="s">
        <v>935</v>
      </c>
      <c r="I1" s="7" t="s">
        <v>492</v>
      </c>
      <c r="J1" s="7" t="s">
        <v>464</v>
      </c>
      <c r="K1" s="7" t="s">
        <v>456</v>
      </c>
      <c r="L1" s="7"/>
      <c r="M1" s="7" t="s">
        <v>480</v>
      </c>
      <c r="N1" s="7" t="s">
        <v>476</v>
      </c>
      <c r="O1" s="7" t="s">
        <v>462</v>
      </c>
      <c r="P1" s="7" t="s">
        <v>457</v>
      </c>
      <c r="Q1" s="7" t="s">
        <v>138</v>
      </c>
      <c r="R1" s="7" t="s">
        <v>466</v>
      </c>
      <c r="S1" s="7" t="s">
        <v>682</v>
      </c>
      <c r="T1" s="7" t="s">
        <v>467</v>
      </c>
    </row>
    <row r="2" spans="1:20" ht="54">
      <c r="A2" s="1">
        <v>63</v>
      </c>
      <c r="B2" s="1" t="s">
        <v>532</v>
      </c>
      <c r="C2" s="1" t="s">
        <v>535</v>
      </c>
      <c r="D2" s="1">
        <v>9</v>
      </c>
      <c r="E2" s="1" t="s">
        <v>990</v>
      </c>
      <c r="F2" s="4" t="s">
        <v>1048</v>
      </c>
      <c r="G2" s="2" t="s">
        <v>170</v>
      </c>
      <c r="H2" s="2" t="s">
        <v>296</v>
      </c>
      <c r="I2" s="30">
        <v>10</v>
      </c>
      <c r="J2" s="32" t="s">
        <v>486</v>
      </c>
      <c r="K2" s="30" t="s">
        <v>479</v>
      </c>
      <c r="L2" s="30"/>
      <c r="M2" s="2" t="s">
        <v>703</v>
      </c>
      <c r="N2" s="2"/>
      <c r="O2" s="30" t="s">
        <v>160</v>
      </c>
      <c r="P2" s="30"/>
      <c r="Q2" s="2"/>
      <c r="R2" s="2" t="s">
        <v>414</v>
      </c>
      <c r="S2" s="4" t="s">
        <v>395</v>
      </c>
      <c r="T2" s="4"/>
    </row>
    <row r="3" spans="1:20" ht="54">
      <c r="A3" s="1">
        <v>73</v>
      </c>
      <c r="B3" s="1" t="s">
        <v>532</v>
      </c>
      <c r="C3" s="1" t="s">
        <v>1046</v>
      </c>
      <c r="D3" s="1">
        <v>9</v>
      </c>
      <c r="E3" s="1" t="s">
        <v>695</v>
      </c>
      <c r="F3" s="4" t="s">
        <v>1045</v>
      </c>
      <c r="G3" s="2" t="s">
        <v>170</v>
      </c>
      <c r="H3" s="2" t="s">
        <v>296</v>
      </c>
      <c r="I3" s="30">
        <v>10</v>
      </c>
      <c r="J3" s="30">
        <v>1.1599999999999999</v>
      </c>
      <c r="K3" s="30"/>
      <c r="L3" s="30"/>
      <c r="M3" s="2" t="s">
        <v>432</v>
      </c>
      <c r="N3" s="2"/>
      <c r="O3" s="30" t="s">
        <v>160</v>
      </c>
      <c r="P3" s="30"/>
      <c r="Q3" s="2"/>
      <c r="R3" s="2"/>
      <c r="S3" s="4" t="s">
        <v>395</v>
      </c>
      <c r="T3" s="4"/>
    </row>
    <row r="4" spans="1:20" ht="54">
      <c r="A4" s="1">
        <v>90</v>
      </c>
      <c r="B4" s="1" t="s">
        <v>532</v>
      </c>
      <c r="C4" s="1" t="s">
        <v>551</v>
      </c>
      <c r="D4" s="1">
        <v>7</v>
      </c>
      <c r="E4" s="1" t="s">
        <v>1015</v>
      </c>
      <c r="F4" s="4" t="s">
        <v>525</v>
      </c>
      <c r="G4" s="2" t="s">
        <v>26</v>
      </c>
      <c r="H4" s="2" t="s">
        <v>296</v>
      </c>
      <c r="I4" s="30">
        <v>10</v>
      </c>
      <c r="J4" s="30">
        <v>1.24</v>
      </c>
      <c r="K4" s="30" t="s">
        <v>479</v>
      </c>
      <c r="L4" s="30"/>
      <c r="M4" s="2" t="s">
        <v>434</v>
      </c>
      <c r="N4" s="2"/>
      <c r="O4" s="30" t="s">
        <v>160</v>
      </c>
      <c r="P4" s="30"/>
      <c r="Q4" s="2"/>
      <c r="R4" s="2"/>
      <c r="S4" s="4" t="s">
        <v>395</v>
      </c>
      <c r="T4" s="4"/>
    </row>
    <row r="5" spans="1:20" ht="54">
      <c r="A5" s="1">
        <v>97</v>
      </c>
      <c r="B5" s="1" t="s">
        <v>532</v>
      </c>
      <c r="C5" s="1" t="s">
        <v>533</v>
      </c>
      <c r="D5" s="1">
        <v>6</v>
      </c>
      <c r="E5" s="1" t="s">
        <v>836</v>
      </c>
      <c r="F5" s="4" t="s">
        <v>677</v>
      </c>
      <c r="G5" s="2" t="s">
        <v>1187</v>
      </c>
      <c r="H5" s="2" t="s">
        <v>342</v>
      </c>
      <c r="I5" s="30"/>
      <c r="J5" s="30"/>
      <c r="K5" s="30" t="s">
        <v>481</v>
      </c>
      <c r="L5" s="30"/>
      <c r="M5" s="2" t="s">
        <v>692</v>
      </c>
      <c r="N5" s="2"/>
      <c r="O5" s="30" t="s">
        <v>160</v>
      </c>
      <c r="P5" s="30"/>
      <c r="Q5" s="2"/>
      <c r="R5" s="2"/>
      <c r="S5" s="4" t="s">
        <v>395</v>
      </c>
      <c r="T5" s="4"/>
    </row>
    <row r="6" spans="1:20" ht="40.5">
      <c r="A6" s="1">
        <v>104</v>
      </c>
      <c r="B6" s="1" t="s">
        <v>532</v>
      </c>
      <c r="C6" s="1" t="s">
        <v>534</v>
      </c>
      <c r="D6" s="1">
        <v>6</v>
      </c>
      <c r="E6" s="1" t="s">
        <v>841</v>
      </c>
      <c r="F6" s="4" t="s">
        <v>1047</v>
      </c>
      <c r="G6" s="36" t="s">
        <v>92</v>
      </c>
      <c r="H6" s="2"/>
      <c r="I6" s="30">
        <v>10</v>
      </c>
      <c r="J6" s="30">
        <v>1.28</v>
      </c>
      <c r="K6" s="30" t="s">
        <v>479</v>
      </c>
      <c r="L6" s="30"/>
      <c r="M6" s="2"/>
      <c r="N6" s="2"/>
      <c r="O6" s="30" t="s">
        <v>160</v>
      </c>
      <c r="P6" s="30"/>
      <c r="Q6" s="2"/>
      <c r="R6" s="2" t="s">
        <v>121</v>
      </c>
      <c r="S6" s="4" t="s">
        <v>948</v>
      </c>
      <c r="T6" s="4"/>
    </row>
    <row r="7" spans="1:20" ht="54">
      <c r="A7" s="1">
        <v>114</v>
      </c>
      <c r="B7" s="1" t="s">
        <v>532</v>
      </c>
      <c r="C7" s="1" t="s">
        <v>552</v>
      </c>
      <c r="D7" s="1">
        <v>9</v>
      </c>
      <c r="E7" s="1" t="s">
        <v>862</v>
      </c>
      <c r="F7" s="4" t="s">
        <v>1050</v>
      </c>
      <c r="G7" s="2" t="s">
        <v>377</v>
      </c>
      <c r="H7" s="2" t="s">
        <v>342</v>
      </c>
      <c r="I7" s="30">
        <v>10</v>
      </c>
      <c r="J7" s="30">
        <v>1.32</v>
      </c>
      <c r="K7" s="30"/>
      <c r="L7" s="30"/>
      <c r="M7" s="2" t="s">
        <v>630</v>
      </c>
      <c r="N7" s="2"/>
      <c r="O7" s="30" t="s">
        <v>160</v>
      </c>
      <c r="P7" s="30"/>
      <c r="Q7" s="2"/>
      <c r="R7" s="2"/>
      <c r="S7" s="4" t="s">
        <v>395</v>
      </c>
      <c r="T7" s="4"/>
    </row>
    <row r="8" spans="1:20" ht="54">
      <c r="A8" s="1">
        <v>121</v>
      </c>
      <c r="B8" s="1" t="s">
        <v>532</v>
      </c>
      <c r="C8" s="1" t="s">
        <v>541</v>
      </c>
      <c r="D8" s="1">
        <v>6</v>
      </c>
      <c r="E8" s="1" t="s">
        <v>861</v>
      </c>
      <c r="F8" s="4" t="s">
        <v>543</v>
      </c>
      <c r="G8" s="2" t="s">
        <v>25</v>
      </c>
      <c r="H8" s="2" t="s">
        <v>342</v>
      </c>
      <c r="I8" s="30">
        <v>10</v>
      </c>
      <c r="J8" s="30">
        <v>1.34</v>
      </c>
      <c r="K8" s="30"/>
      <c r="L8" s="30"/>
      <c r="M8" s="2" t="s">
        <v>698</v>
      </c>
      <c r="N8" s="2"/>
      <c r="O8" s="30" t="s">
        <v>160</v>
      </c>
      <c r="P8" s="30"/>
      <c r="Q8" s="2"/>
      <c r="R8" s="2"/>
      <c r="S8" s="4" t="s">
        <v>395</v>
      </c>
      <c r="T8" s="4"/>
    </row>
    <row r="9" spans="1:20" ht="121.5">
      <c r="A9" s="1">
        <v>314</v>
      </c>
      <c r="B9" s="1" t="s">
        <v>561</v>
      </c>
      <c r="C9" s="1" t="s">
        <v>444</v>
      </c>
      <c r="D9" s="1">
        <v>2</v>
      </c>
      <c r="E9" s="1" t="s">
        <v>1037</v>
      </c>
      <c r="F9" s="4" t="s">
        <v>1068</v>
      </c>
      <c r="G9" s="2" t="s">
        <v>739</v>
      </c>
      <c r="H9" s="2" t="s">
        <v>10</v>
      </c>
      <c r="I9" s="30"/>
      <c r="J9" s="30"/>
      <c r="K9" s="30" t="s">
        <v>481</v>
      </c>
      <c r="L9" s="30"/>
      <c r="M9" s="2"/>
      <c r="N9" s="2"/>
      <c r="O9" s="30" t="s">
        <v>160</v>
      </c>
      <c r="P9" s="30"/>
      <c r="Q9" s="2"/>
      <c r="R9" s="2"/>
      <c r="S9" s="4"/>
      <c r="T9" s="4"/>
    </row>
    <row r="10" spans="1:20" ht="40.5">
      <c r="A10" s="1">
        <v>315</v>
      </c>
      <c r="B10" s="1" t="s">
        <v>561</v>
      </c>
      <c r="C10" s="1" t="s">
        <v>444</v>
      </c>
      <c r="D10" s="1">
        <v>3</v>
      </c>
      <c r="E10" s="1" t="s">
        <v>779</v>
      </c>
      <c r="F10" s="4" t="s">
        <v>1068</v>
      </c>
      <c r="G10" s="2" t="s">
        <v>739</v>
      </c>
      <c r="H10" s="2" t="s">
        <v>255</v>
      </c>
      <c r="I10" s="30"/>
      <c r="J10" s="30"/>
      <c r="K10" s="30" t="s">
        <v>481</v>
      </c>
      <c r="L10" s="30"/>
      <c r="M10" s="2"/>
      <c r="N10" s="2"/>
      <c r="O10" s="30" t="s">
        <v>160</v>
      </c>
      <c r="P10" s="30"/>
      <c r="Q10" s="2"/>
      <c r="R10" s="2"/>
      <c r="S10" s="4"/>
      <c r="T10" s="4"/>
    </row>
    <row r="11" spans="1:20" ht="27">
      <c r="A11" s="1">
        <v>316</v>
      </c>
      <c r="B11" s="1" t="s">
        <v>561</v>
      </c>
      <c r="C11" s="1" t="s">
        <v>444</v>
      </c>
      <c r="D11" s="1">
        <v>4</v>
      </c>
      <c r="E11" s="1" t="s">
        <v>1093</v>
      </c>
      <c r="F11" s="4" t="s">
        <v>1068</v>
      </c>
      <c r="G11" s="2" t="s">
        <v>739</v>
      </c>
      <c r="H11" s="2" t="s">
        <v>271</v>
      </c>
      <c r="I11" s="30"/>
      <c r="J11" s="30"/>
      <c r="K11" s="30" t="s">
        <v>481</v>
      </c>
      <c r="L11" s="30"/>
      <c r="M11" s="2"/>
      <c r="N11" s="2"/>
      <c r="O11" s="30" t="s">
        <v>160</v>
      </c>
      <c r="P11" s="30"/>
      <c r="Q11" s="2"/>
      <c r="R11" s="2"/>
      <c r="S11" s="4"/>
      <c r="T11" s="4"/>
    </row>
    <row r="12" spans="1:20" ht="27">
      <c r="A12" s="1">
        <v>317</v>
      </c>
      <c r="B12" s="1" t="s">
        <v>561</v>
      </c>
      <c r="C12" s="1" t="s">
        <v>444</v>
      </c>
      <c r="D12" s="1">
        <v>5</v>
      </c>
      <c r="E12" s="1" t="s">
        <v>1031</v>
      </c>
      <c r="F12" s="4" t="s">
        <v>1068</v>
      </c>
      <c r="G12" s="2" t="s">
        <v>168</v>
      </c>
      <c r="H12" s="2"/>
      <c r="I12" s="30"/>
      <c r="J12" s="30"/>
      <c r="K12" s="30" t="s">
        <v>481</v>
      </c>
      <c r="L12" s="30"/>
      <c r="M12" s="2"/>
      <c r="N12" s="2"/>
      <c r="O12" s="30" t="s">
        <v>160</v>
      </c>
      <c r="P12" s="30"/>
      <c r="Q12" s="2"/>
      <c r="R12" s="2"/>
      <c r="S12" s="4"/>
      <c r="T12" s="4"/>
    </row>
    <row r="13" spans="1:20">
      <c r="A13" s="1">
        <v>318</v>
      </c>
      <c r="B13" s="1" t="s">
        <v>561</v>
      </c>
      <c r="C13" s="1" t="s">
        <v>444</v>
      </c>
      <c r="D13" s="1">
        <v>6</v>
      </c>
      <c r="E13" s="1" t="s">
        <v>1085</v>
      </c>
      <c r="F13" s="4" t="s">
        <v>1068</v>
      </c>
      <c r="G13" s="2" t="s">
        <v>79</v>
      </c>
      <c r="H13" s="2"/>
      <c r="I13" s="30"/>
      <c r="J13" s="30"/>
      <c r="K13" s="30" t="s">
        <v>481</v>
      </c>
      <c r="L13" s="30"/>
      <c r="M13" s="2"/>
      <c r="N13" s="2"/>
      <c r="O13" s="30" t="s">
        <v>160</v>
      </c>
      <c r="P13" s="30"/>
      <c r="Q13" s="2"/>
      <c r="R13" s="2"/>
      <c r="S13" s="4"/>
      <c r="T13" s="4"/>
    </row>
    <row r="14" spans="1:20" ht="27">
      <c r="A14" s="1">
        <v>319</v>
      </c>
      <c r="B14" s="1" t="s">
        <v>561</v>
      </c>
      <c r="C14" s="1" t="s">
        <v>444</v>
      </c>
      <c r="D14" s="1">
        <v>7</v>
      </c>
      <c r="E14" s="1" t="s">
        <v>1096</v>
      </c>
      <c r="F14" s="4" t="s">
        <v>1068</v>
      </c>
      <c r="G14" s="2" t="s">
        <v>382</v>
      </c>
      <c r="H14" s="2" t="s">
        <v>394</v>
      </c>
      <c r="I14" s="30"/>
      <c r="J14" s="30"/>
      <c r="K14" s="30" t="s">
        <v>481</v>
      </c>
      <c r="L14" s="30"/>
      <c r="M14" s="2"/>
      <c r="N14" s="2"/>
      <c r="O14" s="30" t="s">
        <v>160</v>
      </c>
      <c r="P14" s="30"/>
      <c r="Q14" s="2"/>
      <c r="R14" s="2"/>
      <c r="S14" s="4"/>
      <c r="T14" s="4"/>
    </row>
  </sheetData>
  <autoFilter ref="A1:T14"/>
  <customSheetViews>
    <customSheetView guid="{2940EC69-0E40-4162-8549-ED35AA338A49}" showGridLines="0" showAutoFilter="1" hiddenColumns="1" state="hidden" topLeftCell="B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4"/>
    </customSheetView>
    <customSheetView guid="{795AB5AE-C53F-4700-AA4F-485409291E6B}" showGridLines="0" showAutoFilter="1" hiddenColumns="1" state="hidden" topLeftCell="B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4"/>
    </customSheetView>
    <customSheetView guid="{C0B3E00A-6A64-4A32-8796-BF55C9AAD4EA}" showGridLines="0" showAutoFilter="1" hiddenColumns="1" state="hidden" topLeftCell="B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4"/>
    </customSheetView>
    <customSheetView guid="{EB4CA770-1436-4E3D-889F-30E34BABACCC}" showGridLines="0" showAutoFilter="1" hiddenColumns="1" state="hidden" topLeftCell="B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4"/>
    </customSheetView>
    <customSheetView guid="{2A8CFD2D-F9CC-4306-8A26-A82C68617360}" showGridLines="0" showAutoFilter="1" hiddenColumns="1" state="hidden" topLeftCell="B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4"/>
    </customSheetView>
    <customSheetView guid="{70346E6A-FAEE-4C37-A89C-D6DC7354E054}" showGridLines="0" showAutoFilter="1" hiddenColumns="1" state="hidden" topLeftCell="B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4"/>
    </customSheetView>
  </customSheetViews>
  <phoneticPr fontId="13" type="noConversion"/>
  <dataValidations count="1">
    <dataValidation type="list" allowBlank="1" showInputMessage="1" showErrorMessage="1" sqref="K2:L14">
      <formula1>"결정완료,해당없음"</formula1>
    </dataValidation>
  </dataValidations>
  <pageMargins left="0.69972223043441772" right="0.69972223043441772" top="0.75" bottom="0.75" header="0.30000001192092896" footer="0.30000001192092896"/>
  <pageSetup paperSize="9" orientation="portrait"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27"/>
  <sheetViews>
    <sheetView showGridLines="0" zoomScaleNormal="100" zoomScaleSheetLayoutView="75" workbookViewId="0">
      <pane ySplit="1" topLeftCell="A11" activePane="bottomLeft" state="frozen"/>
      <selection pane="bottomLeft" activeCell="E6" sqref="E6"/>
    </sheetView>
  </sheetViews>
  <sheetFormatPr defaultColWidth="9" defaultRowHeight="16.5"/>
  <cols>
    <col min="1" max="1" width="5.625" customWidth="1"/>
    <col min="2" max="2" width="15.625" customWidth="1"/>
    <col min="3" max="3" width="10.625" customWidth="1"/>
    <col min="4" max="4" width="10.625" hidden="1" customWidth="1"/>
    <col min="5" max="5" width="15.625" customWidth="1"/>
    <col min="6" max="6" width="25.625" customWidth="1"/>
    <col min="7" max="8" width="50.625" customWidth="1"/>
    <col min="9" max="11" width="10.625" style="31" customWidth="1"/>
    <col min="12" max="13" width="30.625" customWidth="1"/>
    <col min="14" max="15" width="10.625" style="31" customWidth="1"/>
    <col min="16" max="16" width="20.625" customWidth="1"/>
    <col min="17" max="17" width="39" hidden="1" customWidth="1"/>
    <col min="18" max="18" width="21.875" hidden="1" customWidth="1"/>
    <col min="19" max="19" width="23.625" hidden="1" customWidth="1"/>
  </cols>
  <sheetData>
    <row r="1" spans="1:19" s="8" customFormat="1" ht="30" customHeight="1">
      <c r="A1" s="7" t="s">
        <v>132</v>
      </c>
      <c r="B1" s="7" t="s">
        <v>134</v>
      </c>
      <c r="C1" s="7" t="s">
        <v>451</v>
      </c>
      <c r="D1" s="7" t="s">
        <v>459</v>
      </c>
      <c r="E1" s="9" t="s">
        <v>1083</v>
      </c>
      <c r="F1" s="7" t="s">
        <v>538</v>
      </c>
      <c r="G1" s="7" t="s">
        <v>448</v>
      </c>
      <c r="H1" s="7" t="s">
        <v>935</v>
      </c>
      <c r="I1" s="7" t="s">
        <v>492</v>
      </c>
      <c r="J1" s="7" t="s">
        <v>464</v>
      </c>
      <c r="K1" s="7" t="s">
        <v>456</v>
      </c>
      <c r="L1" s="7" t="s">
        <v>480</v>
      </c>
      <c r="M1" s="7" t="s">
        <v>476</v>
      </c>
      <c r="N1" s="7" t="s">
        <v>462</v>
      </c>
      <c r="O1" s="7" t="s">
        <v>457</v>
      </c>
      <c r="P1" s="7" t="s">
        <v>138</v>
      </c>
      <c r="Q1" s="7" t="s">
        <v>466</v>
      </c>
      <c r="R1" s="7" t="s">
        <v>682</v>
      </c>
      <c r="S1" s="7" t="s">
        <v>467</v>
      </c>
    </row>
    <row r="2" spans="1:19" ht="27">
      <c r="A2" s="1">
        <v>32</v>
      </c>
      <c r="B2" s="1" t="s">
        <v>146</v>
      </c>
      <c r="C2" s="1" t="s">
        <v>523</v>
      </c>
      <c r="D2" s="1">
        <v>3</v>
      </c>
      <c r="E2" s="1" t="s">
        <v>946</v>
      </c>
      <c r="F2" s="4" t="s">
        <v>548</v>
      </c>
      <c r="G2" s="2" t="s">
        <v>165</v>
      </c>
      <c r="H2" s="2" t="s">
        <v>589</v>
      </c>
      <c r="I2" s="30"/>
      <c r="J2" s="30"/>
      <c r="K2" s="30" t="s">
        <v>481</v>
      </c>
      <c r="L2" s="2"/>
      <c r="M2" s="2"/>
      <c r="N2" s="30" t="s">
        <v>160</v>
      </c>
      <c r="O2" s="30"/>
      <c r="P2" s="2"/>
      <c r="Q2" s="2"/>
      <c r="R2" s="4"/>
      <c r="S2" s="4"/>
    </row>
    <row r="3" spans="1:19" ht="54">
      <c r="A3" s="1">
        <v>33</v>
      </c>
      <c r="B3" s="1" t="s">
        <v>146</v>
      </c>
      <c r="C3" s="1" t="s">
        <v>523</v>
      </c>
      <c r="D3" s="1">
        <v>4</v>
      </c>
      <c r="E3" s="1" t="s">
        <v>983</v>
      </c>
      <c r="F3" s="4" t="s">
        <v>548</v>
      </c>
      <c r="G3" s="2" t="s">
        <v>165</v>
      </c>
      <c r="H3" s="2" t="s">
        <v>195</v>
      </c>
      <c r="I3" s="30">
        <v>10</v>
      </c>
      <c r="J3" s="32" t="s">
        <v>145</v>
      </c>
      <c r="K3" s="30" t="s">
        <v>479</v>
      </c>
      <c r="L3" s="2"/>
      <c r="M3" s="2"/>
      <c r="N3" s="30" t="s">
        <v>160</v>
      </c>
      <c r="O3" s="30"/>
      <c r="P3" s="2"/>
      <c r="Q3" s="2"/>
      <c r="R3" s="4"/>
      <c r="S3" s="4"/>
    </row>
    <row r="4" spans="1:19" ht="67.5">
      <c r="A4" s="1">
        <v>45</v>
      </c>
      <c r="B4" s="1" t="s">
        <v>146</v>
      </c>
      <c r="C4" s="1" t="s">
        <v>1053</v>
      </c>
      <c r="D4" s="1">
        <v>4</v>
      </c>
      <c r="E4" s="1" t="s">
        <v>662</v>
      </c>
      <c r="F4" s="4" t="s">
        <v>663</v>
      </c>
      <c r="G4" s="2" t="s">
        <v>430</v>
      </c>
      <c r="H4" s="2" t="s">
        <v>20</v>
      </c>
      <c r="I4" s="30"/>
      <c r="J4" s="30"/>
      <c r="K4" s="30" t="s">
        <v>481</v>
      </c>
      <c r="L4" s="2"/>
      <c r="M4" s="2"/>
      <c r="N4" s="30" t="s">
        <v>160</v>
      </c>
      <c r="O4" s="30"/>
      <c r="P4" s="2"/>
      <c r="Q4" s="2" t="s">
        <v>90</v>
      </c>
      <c r="R4" s="4" t="s">
        <v>1079</v>
      </c>
      <c r="S4" s="4"/>
    </row>
    <row r="5" spans="1:19" ht="27">
      <c r="A5" s="1">
        <v>54</v>
      </c>
      <c r="B5" s="1" t="s">
        <v>146</v>
      </c>
      <c r="C5" s="1" t="s">
        <v>542</v>
      </c>
      <c r="D5" s="1">
        <v>8</v>
      </c>
      <c r="E5" s="1" t="s">
        <v>975</v>
      </c>
      <c r="F5" s="4" t="s">
        <v>1052</v>
      </c>
      <c r="G5" s="2" t="s">
        <v>269</v>
      </c>
      <c r="H5" s="2"/>
      <c r="I5" s="30"/>
      <c r="J5" s="30"/>
      <c r="K5" s="30" t="s">
        <v>481</v>
      </c>
      <c r="L5" s="2"/>
      <c r="M5" s="2"/>
      <c r="N5" s="30" t="s">
        <v>160</v>
      </c>
      <c r="O5" s="30"/>
      <c r="P5" s="2"/>
      <c r="Q5" s="2"/>
      <c r="R5" s="4"/>
      <c r="S5" s="4"/>
    </row>
    <row r="6" spans="1:19" ht="54">
      <c r="A6" s="1">
        <v>85</v>
      </c>
      <c r="B6" s="1" t="s">
        <v>532</v>
      </c>
      <c r="C6" s="1" t="s">
        <v>551</v>
      </c>
      <c r="D6" s="1">
        <v>2</v>
      </c>
      <c r="E6" s="1" t="s">
        <v>1009</v>
      </c>
      <c r="F6" s="4" t="s">
        <v>525</v>
      </c>
      <c r="G6" s="2" t="s">
        <v>333</v>
      </c>
      <c r="H6" s="2"/>
      <c r="I6" s="30">
        <v>10</v>
      </c>
      <c r="J6" s="30">
        <v>1.21</v>
      </c>
      <c r="K6" s="30" t="s">
        <v>479</v>
      </c>
      <c r="L6" s="2"/>
      <c r="M6" s="2"/>
      <c r="N6" s="30" t="s">
        <v>160</v>
      </c>
      <c r="O6" s="30"/>
      <c r="P6" s="2"/>
      <c r="Q6" s="2"/>
      <c r="R6" s="4" t="s">
        <v>395</v>
      </c>
      <c r="S6" s="4"/>
    </row>
    <row r="7" spans="1:19" ht="54">
      <c r="A7" s="1">
        <v>95</v>
      </c>
      <c r="B7" s="1" t="s">
        <v>532</v>
      </c>
      <c r="C7" s="1" t="s">
        <v>533</v>
      </c>
      <c r="D7" s="1">
        <v>4</v>
      </c>
      <c r="E7" s="1" t="s">
        <v>825</v>
      </c>
      <c r="F7" s="4" t="s">
        <v>677</v>
      </c>
      <c r="G7" s="2" t="s">
        <v>427</v>
      </c>
      <c r="H7" s="2" t="s">
        <v>336</v>
      </c>
      <c r="I7" s="30"/>
      <c r="J7" s="30"/>
      <c r="K7" s="30" t="s">
        <v>481</v>
      </c>
      <c r="L7" s="2"/>
      <c r="M7" s="2"/>
      <c r="N7" s="30" t="s">
        <v>160</v>
      </c>
      <c r="O7" s="30"/>
      <c r="P7" s="2"/>
      <c r="Q7" s="2"/>
      <c r="R7" s="4"/>
      <c r="S7" s="4"/>
    </row>
    <row r="8" spans="1:19" ht="27">
      <c r="A8" s="1">
        <v>96</v>
      </c>
      <c r="B8" s="1" t="s">
        <v>532</v>
      </c>
      <c r="C8" s="1" t="s">
        <v>533</v>
      </c>
      <c r="D8" s="1">
        <v>5</v>
      </c>
      <c r="E8" s="1" t="s">
        <v>832</v>
      </c>
      <c r="F8" s="4" t="s">
        <v>677</v>
      </c>
      <c r="G8" s="2" t="s">
        <v>253</v>
      </c>
      <c r="H8" s="2" t="s">
        <v>412</v>
      </c>
      <c r="I8" s="30"/>
      <c r="J8" s="30"/>
      <c r="K8" s="30" t="s">
        <v>481</v>
      </c>
      <c r="L8" s="2"/>
      <c r="M8" s="2"/>
      <c r="N8" s="30" t="s">
        <v>160</v>
      </c>
      <c r="O8" s="30"/>
      <c r="P8" s="2"/>
      <c r="Q8" s="2"/>
      <c r="R8" s="4"/>
      <c r="S8" s="4"/>
    </row>
    <row r="9" spans="1:19" ht="27">
      <c r="A9" s="1">
        <v>112</v>
      </c>
      <c r="B9" s="1" t="s">
        <v>532</v>
      </c>
      <c r="C9" s="1" t="s">
        <v>552</v>
      </c>
      <c r="D9" s="1">
        <v>7</v>
      </c>
      <c r="E9" s="1" t="s">
        <v>848</v>
      </c>
      <c r="F9" s="4" t="s">
        <v>1050</v>
      </c>
      <c r="G9" s="2" t="s">
        <v>278</v>
      </c>
      <c r="H9" s="2" t="s">
        <v>252</v>
      </c>
      <c r="I9" s="30"/>
      <c r="J9" s="30"/>
      <c r="K9" s="30" t="s">
        <v>481</v>
      </c>
      <c r="L9" s="2"/>
      <c r="M9" s="2"/>
      <c r="N9" s="30" t="s">
        <v>160</v>
      </c>
      <c r="O9" s="30"/>
      <c r="P9" s="2"/>
      <c r="Q9" s="2" t="s">
        <v>756</v>
      </c>
      <c r="R9" s="4" t="s">
        <v>1079</v>
      </c>
      <c r="S9" s="4"/>
    </row>
    <row r="10" spans="1:19" ht="27">
      <c r="A10" s="1">
        <v>120</v>
      </c>
      <c r="B10" s="1" t="s">
        <v>532</v>
      </c>
      <c r="C10" s="1" t="s">
        <v>541</v>
      </c>
      <c r="D10" s="1">
        <v>5</v>
      </c>
      <c r="E10" s="1" t="s">
        <v>858</v>
      </c>
      <c r="F10" s="4"/>
      <c r="G10" s="2"/>
      <c r="H10" s="2" t="s">
        <v>396</v>
      </c>
      <c r="I10" s="30">
        <v>10</v>
      </c>
      <c r="J10" s="30">
        <v>1.33</v>
      </c>
      <c r="K10" s="30"/>
      <c r="L10" s="2"/>
      <c r="M10" s="2"/>
      <c r="N10" s="30" t="s">
        <v>160</v>
      </c>
      <c r="O10" s="30"/>
      <c r="P10" s="2"/>
      <c r="Q10" s="2"/>
      <c r="R10" s="4"/>
      <c r="S10" s="4"/>
    </row>
    <row r="11" spans="1:19" ht="27">
      <c r="A11" s="1">
        <v>140</v>
      </c>
      <c r="B11" s="1" t="s">
        <v>532</v>
      </c>
      <c r="C11" s="1" t="s">
        <v>526</v>
      </c>
      <c r="D11" s="1">
        <v>5</v>
      </c>
      <c r="E11" s="1" t="s">
        <v>866</v>
      </c>
      <c r="F11" s="39" t="s">
        <v>449</v>
      </c>
      <c r="G11" s="2" t="s">
        <v>267</v>
      </c>
      <c r="H11" s="2" t="s">
        <v>283</v>
      </c>
      <c r="I11" s="30"/>
      <c r="J11" s="30"/>
      <c r="K11" s="30" t="s">
        <v>481</v>
      </c>
      <c r="L11" s="2"/>
      <c r="M11" s="2"/>
      <c r="N11" s="30" t="s">
        <v>160</v>
      </c>
      <c r="O11" s="30"/>
      <c r="P11" s="2"/>
      <c r="Q11" s="2"/>
      <c r="R11" s="4"/>
      <c r="S11" s="4"/>
    </row>
    <row r="12" spans="1:19" ht="94.5">
      <c r="A12" s="1">
        <v>145</v>
      </c>
      <c r="B12" s="1" t="s">
        <v>447</v>
      </c>
      <c r="C12" s="1" t="s">
        <v>530</v>
      </c>
      <c r="D12" s="1">
        <v>4</v>
      </c>
      <c r="E12" s="1" t="s">
        <v>889</v>
      </c>
      <c r="F12" s="4" t="s">
        <v>1065</v>
      </c>
      <c r="G12" s="2" t="s">
        <v>730</v>
      </c>
      <c r="H12" s="2" t="s">
        <v>650</v>
      </c>
      <c r="I12" s="30">
        <v>10</v>
      </c>
      <c r="J12" s="30">
        <v>1.41</v>
      </c>
      <c r="K12" s="30"/>
      <c r="L12" s="2"/>
      <c r="M12" s="2"/>
      <c r="N12" s="30" t="s">
        <v>160</v>
      </c>
      <c r="O12" s="30"/>
      <c r="P12" s="2"/>
      <c r="Q12" s="2"/>
      <c r="R12" s="4"/>
      <c r="S12" s="4"/>
    </row>
    <row r="13" spans="1:19" ht="54">
      <c r="A13" s="1">
        <v>149</v>
      </c>
      <c r="B13" s="1" t="s">
        <v>447</v>
      </c>
      <c r="C13" s="1" t="s">
        <v>530</v>
      </c>
      <c r="D13" s="1">
        <v>8</v>
      </c>
      <c r="E13" s="1" t="s">
        <v>880</v>
      </c>
      <c r="F13" s="4" t="s">
        <v>1065</v>
      </c>
      <c r="G13" s="2" t="s">
        <v>310</v>
      </c>
      <c r="H13" s="2" t="s">
        <v>324</v>
      </c>
      <c r="I13" s="30">
        <v>10</v>
      </c>
      <c r="J13" s="30">
        <v>1.44</v>
      </c>
      <c r="K13" s="30"/>
      <c r="L13" s="2"/>
      <c r="M13" s="2"/>
      <c r="N13" s="30" t="s">
        <v>160</v>
      </c>
      <c r="O13" s="30"/>
      <c r="P13" s="2"/>
      <c r="Q13" s="2"/>
      <c r="R13" s="4" t="s">
        <v>1079</v>
      </c>
      <c r="S13" s="4"/>
    </row>
    <row r="14" spans="1:19" ht="40.5">
      <c r="A14" s="1">
        <v>150</v>
      </c>
      <c r="B14" s="1" t="s">
        <v>447</v>
      </c>
      <c r="C14" s="1" t="s">
        <v>530</v>
      </c>
      <c r="D14" s="1">
        <v>9</v>
      </c>
      <c r="E14" s="1" t="s">
        <v>884</v>
      </c>
      <c r="F14" s="4" t="s">
        <v>1065</v>
      </c>
      <c r="G14" s="2" t="s">
        <v>310</v>
      </c>
      <c r="H14" s="2" t="s">
        <v>9</v>
      </c>
      <c r="I14" s="30">
        <v>10</v>
      </c>
      <c r="J14" s="30">
        <v>1.45</v>
      </c>
      <c r="K14" s="30"/>
      <c r="L14" s="2"/>
      <c r="M14" s="2"/>
      <c r="N14" s="30" t="s">
        <v>160</v>
      </c>
      <c r="O14" s="30"/>
      <c r="P14" s="2"/>
      <c r="Q14" s="2"/>
      <c r="R14" s="4"/>
      <c r="S14" s="4"/>
    </row>
    <row r="15" spans="1:19" ht="40.5">
      <c r="A15" s="1">
        <v>151</v>
      </c>
      <c r="B15" s="1" t="s">
        <v>447</v>
      </c>
      <c r="C15" s="1" t="s">
        <v>530</v>
      </c>
      <c r="D15" s="1">
        <v>10</v>
      </c>
      <c r="E15" s="1" t="s">
        <v>881</v>
      </c>
      <c r="F15" s="4" t="s">
        <v>1065</v>
      </c>
      <c r="G15" s="2" t="s">
        <v>310</v>
      </c>
      <c r="H15" s="2" t="s">
        <v>320</v>
      </c>
      <c r="I15" s="30">
        <v>10</v>
      </c>
      <c r="J15" s="30">
        <v>1.46</v>
      </c>
      <c r="K15" s="30" t="s">
        <v>479</v>
      </c>
      <c r="L15" s="2"/>
      <c r="M15" s="2"/>
      <c r="N15" s="30" t="s">
        <v>160</v>
      </c>
      <c r="O15" s="30"/>
      <c r="P15" s="2"/>
      <c r="Q15" s="2"/>
      <c r="R15" s="4"/>
      <c r="S15" s="4"/>
    </row>
    <row r="16" spans="1:19" ht="40.5">
      <c r="A16" s="1">
        <v>155</v>
      </c>
      <c r="B16" s="1" t="s">
        <v>447</v>
      </c>
      <c r="C16" s="1" t="s">
        <v>520</v>
      </c>
      <c r="D16" s="1">
        <v>4</v>
      </c>
      <c r="E16" s="1" t="s">
        <v>904</v>
      </c>
      <c r="F16" s="4" t="s">
        <v>1069</v>
      </c>
      <c r="G16" s="2" t="s">
        <v>429</v>
      </c>
      <c r="H16" s="2" t="s">
        <v>331</v>
      </c>
      <c r="I16" s="30">
        <v>7</v>
      </c>
      <c r="J16" s="32" t="s">
        <v>159</v>
      </c>
      <c r="K16" s="30" t="s">
        <v>479</v>
      </c>
      <c r="L16" s="2"/>
      <c r="M16" s="2"/>
      <c r="N16" s="30" t="s">
        <v>160</v>
      </c>
      <c r="O16" s="30"/>
      <c r="P16" s="2"/>
      <c r="Q16" s="2"/>
      <c r="R16" s="4"/>
      <c r="S16" s="4"/>
    </row>
    <row r="17" spans="1:19" ht="27">
      <c r="A17" s="1">
        <v>192</v>
      </c>
      <c r="B17" s="1" t="s">
        <v>447</v>
      </c>
      <c r="C17" s="1" t="s">
        <v>549</v>
      </c>
      <c r="D17" s="1">
        <v>7</v>
      </c>
      <c r="E17" s="1" t="s">
        <v>936</v>
      </c>
      <c r="F17" s="4" t="s">
        <v>569</v>
      </c>
      <c r="G17" s="2" t="s">
        <v>431</v>
      </c>
      <c r="H17" s="2" t="s">
        <v>606</v>
      </c>
      <c r="I17" s="30"/>
      <c r="J17" s="30"/>
      <c r="K17" s="30" t="s">
        <v>481</v>
      </c>
      <c r="L17" s="2"/>
      <c r="M17" s="2"/>
      <c r="N17" s="30" t="s">
        <v>160</v>
      </c>
      <c r="O17" s="30"/>
      <c r="P17" s="2"/>
      <c r="Q17" s="2"/>
      <c r="R17" s="4"/>
      <c r="S17" s="4"/>
    </row>
    <row r="18" spans="1:19" ht="27">
      <c r="A18" s="1">
        <v>193</v>
      </c>
      <c r="B18" s="1" t="s">
        <v>447</v>
      </c>
      <c r="C18" s="1" t="s">
        <v>549</v>
      </c>
      <c r="D18" s="1">
        <v>8</v>
      </c>
      <c r="E18" s="1" t="s">
        <v>933</v>
      </c>
      <c r="F18" s="4" t="s">
        <v>569</v>
      </c>
      <c r="G18" s="2" t="s">
        <v>247</v>
      </c>
      <c r="H18" s="2"/>
      <c r="I18" s="30"/>
      <c r="J18" s="30"/>
      <c r="K18" s="30" t="s">
        <v>481</v>
      </c>
      <c r="L18" s="2"/>
      <c r="M18" s="2"/>
      <c r="N18" s="30" t="s">
        <v>160</v>
      </c>
      <c r="O18" s="30"/>
      <c r="P18" s="2"/>
      <c r="Q18" s="2"/>
      <c r="R18" s="4"/>
      <c r="S18" s="4"/>
    </row>
    <row r="19" spans="1:19" ht="27">
      <c r="A19" s="1">
        <v>202</v>
      </c>
      <c r="B19" s="1" t="s">
        <v>528</v>
      </c>
      <c r="C19" s="1" t="s">
        <v>537</v>
      </c>
      <c r="D19" s="1">
        <v>9</v>
      </c>
      <c r="E19" s="1" t="s">
        <v>1107</v>
      </c>
      <c r="F19" s="4" t="s">
        <v>671</v>
      </c>
      <c r="G19" s="2" t="s">
        <v>31</v>
      </c>
      <c r="H19" s="2" t="s">
        <v>86</v>
      </c>
      <c r="I19" s="30"/>
      <c r="J19" s="30"/>
      <c r="K19" s="30" t="s">
        <v>481</v>
      </c>
      <c r="L19" s="2"/>
      <c r="M19" s="2"/>
      <c r="N19" s="30" t="s">
        <v>160</v>
      </c>
      <c r="O19" s="30"/>
      <c r="P19" s="2"/>
      <c r="Q19" s="2" t="s">
        <v>1061</v>
      </c>
      <c r="R19" s="4" t="s">
        <v>1079</v>
      </c>
      <c r="S19" s="4"/>
    </row>
    <row r="20" spans="1:19" ht="27">
      <c r="A20" s="1">
        <v>203</v>
      </c>
      <c r="B20" s="1" t="s">
        <v>528</v>
      </c>
      <c r="C20" s="1" t="s">
        <v>537</v>
      </c>
      <c r="D20" s="1">
        <v>10</v>
      </c>
      <c r="E20" s="1" t="s">
        <v>1102</v>
      </c>
      <c r="F20" s="4" t="s">
        <v>671</v>
      </c>
      <c r="G20" s="2" t="s">
        <v>31</v>
      </c>
      <c r="H20" s="2" t="s">
        <v>4</v>
      </c>
      <c r="I20" s="30"/>
      <c r="J20" s="30"/>
      <c r="K20" s="30" t="s">
        <v>481</v>
      </c>
      <c r="L20" s="2"/>
      <c r="M20" s="2"/>
      <c r="N20" s="30" t="s">
        <v>160</v>
      </c>
      <c r="O20" s="30"/>
      <c r="P20" s="2"/>
      <c r="Q20" s="2"/>
      <c r="R20" s="4"/>
      <c r="S20" s="4"/>
    </row>
    <row r="21" spans="1:19" ht="40.5">
      <c r="A21" s="1">
        <v>306</v>
      </c>
      <c r="B21" s="1" t="s">
        <v>561</v>
      </c>
      <c r="C21" s="1" t="s">
        <v>544</v>
      </c>
      <c r="D21" s="1">
        <v>1</v>
      </c>
      <c r="E21" s="1" t="s">
        <v>1051</v>
      </c>
      <c r="F21" s="4" t="s">
        <v>678</v>
      </c>
      <c r="G21" s="2" t="s">
        <v>47</v>
      </c>
      <c r="H21" s="2" t="s">
        <v>197</v>
      </c>
      <c r="I21" s="30"/>
      <c r="J21" s="30"/>
      <c r="K21" s="30" t="s">
        <v>481</v>
      </c>
      <c r="L21" s="2"/>
      <c r="M21" s="2"/>
      <c r="N21" s="30" t="s">
        <v>160</v>
      </c>
      <c r="O21" s="30"/>
      <c r="P21" s="2"/>
      <c r="Q21" s="2"/>
      <c r="R21" s="4" t="s">
        <v>1079</v>
      </c>
      <c r="S21" s="4"/>
    </row>
    <row r="22" spans="1:19" ht="27">
      <c r="A22" s="1">
        <v>307</v>
      </c>
      <c r="B22" s="1" t="s">
        <v>561</v>
      </c>
      <c r="C22" s="1" t="s">
        <v>544</v>
      </c>
      <c r="D22" s="1">
        <v>2</v>
      </c>
      <c r="E22" s="1" t="s">
        <v>1059</v>
      </c>
      <c r="F22" s="4" t="s">
        <v>678</v>
      </c>
      <c r="G22" s="2" t="s">
        <v>47</v>
      </c>
      <c r="H22" s="2" t="s">
        <v>394</v>
      </c>
      <c r="I22" s="30"/>
      <c r="J22" s="30"/>
      <c r="K22" s="30" t="s">
        <v>481</v>
      </c>
      <c r="L22" s="2"/>
      <c r="M22" s="2"/>
      <c r="N22" s="30" t="s">
        <v>160</v>
      </c>
      <c r="O22" s="30"/>
      <c r="P22" s="2"/>
      <c r="Q22" s="2"/>
      <c r="R22" s="4"/>
      <c r="S22" s="4"/>
    </row>
    <row r="23" spans="1:19">
      <c r="A23" s="1">
        <v>308</v>
      </c>
      <c r="B23" s="1" t="s">
        <v>561</v>
      </c>
      <c r="C23" s="1" t="s">
        <v>550</v>
      </c>
      <c r="D23" s="1">
        <v>1</v>
      </c>
      <c r="E23" s="1" t="s">
        <v>1056</v>
      </c>
      <c r="F23" s="4" t="s">
        <v>1062</v>
      </c>
      <c r="G23" s="2" t="s">
        <v>729</v>
      </c>
      <c r="H23" s="2"/>
      <c r="I23" s="30"/>
      <c r="J23" s="30"/>
      <c r="K23" s="30" t="s">
        <v>481</v>
      </c>
      <c r="L23" s="2"/>
      <c r="M23" s="2"/>
      <c r="N23" s="30" t="s">
        <v>160</v>
      </c>
      <c r="O23" s="30"/>
      <c r="P23" s="2"/>
      <c r="Q23" s="2"/>
      <c r="R23" s="4" t="s">
        <v>1079</v>
      </c>
      <c r="S23" s="4"/>
    </row>
    <row r="24" spans="1:19" ht="27">
      <c r="A24" s="1">
        <v>309</v>
      </c>
      <c r="B24" s="1" t="s">
        <v>561</v>
      </c>
      <c r="C24" s="1" t="s">
        <v>550</v>
      </c>
      <c r="D24" s="1">
        <v>2</v>
      </c>
      <c r="E24" s="1" t="s">
        <v>1036</v>
      </c>
      <c r="F24" s="4" t="s">
        <v>1062</v>
      </c>
      <c r="G24" s="2" t="s">
        <v>168</v>
      </c>
      <c r="H24" s="2"/>
      <c r="I24" s="30"/>
      <c r="J24" s="30"/>
      <c r="K24" s="30" t="s">
        <v>481</v>
      </c>
      <c r="L24" s="2"/>
      <c r="M24" s="2"/>
      <c r="N24" s="30" t="s">
        <v>160</v>
      </c>
      <c r="O24" s="30"/>
      <c r="P24" s="2"/>
      <c r="Q24" s="2"/>
      <c r="R24" s="4"/>
      <c r="S24" s="4"/>
    </row>
    <row r="25" spans="1:19">
      <c r="A25" s="1">
        <v>310</v>
      </c>
      <c r="B25" s="1" t="s">
        <v>561</v>
      </c>
      <c r="C25" s="1" t="s">
        <v>550</v>
      </c>
      <c r="D25" s="1">
        <v>3</v>
      </c>
      <c r="E25" s="1" t="s">
        <v>778</v>
      </c>
      <c r="F25" s="4" t="s">
        <v>1062</v>
      </c>
      <c r="G25" s="2" t="s">
        <v>42</v>
      </c>
      <c r="H25" s="2"/>
      <c r="I25" s="30"/>
      <c r="J25" s="30"/>
      <c r="K25" s="30" t="s">
        <v>481</v>
      </c>
      <c r="L25" s="2"/>
      <c r="M25" s="2"/>
      <c r="N25" s="30" t="s">
        <v>160</v>
      </c>
      <c r="O25" s="30"/>
      <c r="P25" s="2"/>
      <c r="Q25" s="2"/>
      <c r="R25" s="4"/>
      <c r="S25" s="4"/>
    </row>
    <row r="26" spans="1:19" ht="27">
      <c r="A26" s="1">
        <v>311</v>
      </c>
      <c r="B26" s="1" t="s">
        <v>561</v>
      </c>
      <c r="C26" s="1" t="s">
        <v>550</v>
      </c>
      <c r="D26" s="1">
        <v>4</v>
      </c>
      <c r="E26" s="1" t="s">
        <v>1040</v>
      </c>
      <c r="F26" s="4" t="s">
        <v>1062</v>
      </c>
      <c r="G26" s="2" t="s">
        <v>0</v>
      </c>
      <c r="H26" s="2" t="s">
        <v>394</v>
      </c>
      <c r="I26" s="30"/>
      <c r="J26" s="30"/>
      <c r="K26" s="30" t="s">
        <v>481</v>
      </c>
      <c r="L26" s="2"/>
      <c r="M26" s="2"/>
      <c r="N26" s="30" t="s">
        <v>160</v>
      </c>
      <c r="O26" s="30"/>
      <c r="P26" s="2"/>
      <c r="Q26" s="2"/>
      <c r="R26" s="4"/>
      <c r="S26" s="4"/>
    </row>
    <row r="27" spans="1:19">
      <c r="A27" s="1">
        <v>312</v>
      </c>
      <c r="B27" s="1" t="s">
        <v>561</v>
      </c>
      <c r="C27" s="1" t="s">
        <v>550</v>
      </c>
      <c r="D27" s="1">
        <v>5</v>
      </c>
      <c r="E27" s="1" t="s">
        <v>1055</v>
      </c>
      <c r="F27" s="4" t="s">
        <v>1062</v>
      </c>
      <c r="G27" s="2" t="s">
        <v>762</v>
      </c>
      <c r="H27" s="2"/>
      <c r="I27" s="30"/>
      <c r="J27" s="30"/>
      <c r="K27" s="30" t="s">
        <v>481</v>
      </c>
      <c r="L27" s="2"/>
      <c r="M27" s="2"/>
      <c r="N27" s="30" t="s">
        <v>160</v>
      </c>
      <c r="O27" s="30"/>
      <c r="P27" s="2"/>
      <c r="Q27" s="2"/>
      <c r="R27" s="4"/>
      <c r="S27" s="4"/>
    </row>
  </sheetData>
  <autoFilter ref="A1:S27"/>
  <customSheetViews>
    <customSheetView guid="{2940EC69-0E40-4162-8549-ED35AA338A49}" showGridLines="0" showAutoFilter="1" hiddenColumns="1" state="hidden">
      <pane ySplit="1" topLeftCell="A11" activePane="bottomLeft" state="frozen"/>
      <selection pane="bottomLeft" activeCell="E6" sqref="E6"/>
      <pageMargins left="0.69972223043441772" right="0.69972223043441772" top="0.75" bottom="0.75" header="0.30000001192092896" footer="0.30000001192092896"/>
      <pageSetup paperSize="9" orientation="portrait" verticalDpi="0"/>
      <autoFilter ref="A1:S27"/>
    </customSheetView>
    <customSheetView guid="{795AB5AE-C53F-4700-AA4F-485409291E6B}" showGridLines="0" showAutoFilter="1" hiddenColumns="1" state="hidden">
      <pane ySplit="1" topLeftCell="A11" activePane="bottomLeft" state="frozen"/>
      <selection pane="bottomLeft" activeCell="E6" sqref="E6"/>
      <pageMargins left="0.69972223043441772" right="0.69972223043441772" top="0.75" bottom="0.75" header="0.30000001192092896" footer="0.30000001192092896"/>
      <pageSetup paperSize="9" orientation="portrait" verticalDpi="0"/>
      <autoFilter ref="A1:S27"/>
    </customSheetView>
    <customSheetView guid="{C0B3E00A-6A64-4A32-8796-BF55C9AAD4EA}" showGridLines="0" showAutoFilter="1" hiddenColumns="1" state="hidden">
      <pane ySplit="1" topLeftCell="A11" activePane="bottomLeft" state="frozen"/>
      <selection pane="bottomLeft" activeCell="E6" sqref="E6"/>
      <pageMargins left="0.69972223043441772" right="0.69972223043441772" top="0.75" bottom="0.75" header="0.30000001192092896" footer="0.30000001192092896"/>
      <pageSetup paperSize="9" orientation="portrait" verticalDpi="0"/>
      <autoFilter ref="A1:S27"/>
    </customSheetView>
    <customSheetView guid="{EB4CA770-1436-4E3D-889F-30E34BABACCC}" showGridLines="0" showAutoFilter="1" hiddenColumns="1" state="hidden">
      <pane ySplit="1" topLeftCell="A11" activePane="bottomLeft" state="frozen"/>
      <selection pane="bottomLeft" activeCell="E6" sqref="E6"/>
      <pageMargins left="0.69972223043441772" right="0.69972223043441772" top="0.75" bottom="0.75" header="0.30000001192092896" footer="0.30000001192092896"/>
      <pageSetup paperSize="9" orientation="portrait" verticalDpi="0"/>
      <autoFilter ref="A1:S27"/>
    </customSheetView>
    <customSheetView guid="{2A8CFD2D-F9CC-4306-8A26-A82C68617360}" showGridLines="0" showAutoFilter="1" hiddenColumns="1" state="hidden">
      <pane ySplit="1" topLeftCell="A11" activePane="bottomLeft" state="frozen"/>
      <selection pane="bottomLeft" activeCell="E6" sqref="E6"/>
      <pageMargins left="0.69972223043441772" right="0.69972223043441772" top="0.75" bottom="0.75" header="0.30000001192092896" footer="0.30000001192092896"/>
      <pageSetup paperSize="9" orientation="portrait" verticalDpi="0"/>
      <autoFilter ref="A1:S27"/>
    </customSheetView>
    <customSheetView guid="{70346E6A-FAEE-4C37-A89C-D6DC7354E054}" showGridLines="0" showAutoFilter="1" hiddenColumns="1" state="hidden">
      <pane ySplit="1" topLeftCell="A11" activePane="bottomLeft" state="frozen"/>
      <selection pane="bottomLeft" activeCell="E6" sqref="E6"/>
      <pageMargins left="0.69972223043441772" right="0.69972223043441772" top="0.75" bottom="0.75" header="0.30000001192092896" footer="0.30000001192092896"/>
      <pageSetup paperSize="9" orientation="portrait" verticalDpi="0"/>
      <autoFilter ref="A1:S27"/>
    </customSheetView>
  </customSheetViews>
  <phoneticPr fontId="13" type="noConversion"/>
  <dataValidations count="1">
    <dataValidation type="list" allowBlank="1" showInputMessage="1" showErrorMessage="1" sqref="K2:K27">
      <formula1>"결정완료,해당없음"</formula1>
    </dataValidation>
  </dataValidations>
  <pageMargins left="0.69972223043441772" right="0.69972223043441772" top="0.75" bottom="0.75" header="0.30000001192092896" footer="0.30000001192092896"/>
  <pageSetup paperSize="9" orientation="portrait"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T17"/>
  <sheetViews>
    <sheetView showGridLines="0" topLeftCell="E1" zoomScaleNormal="100" zoomScaleSheetLayoutView="75" workbookViewId="0">
      <pane ySplit="1" topLeftCell="A2" activePane="bottomLeft" state="frozen"/>
      <selection activeCell="E1" sqref="E1"/>
      <selection pane="bottomLeft" activeCell="E6" sqref="E6"/>
    </sheetView>
  </sheetViews>
  <sheetFormatPr defaultColWidth="9" defaultRowHeight="16.5"/>
  <cols>
    <col min="1" max="1" width="5.625" customWidth="1"/>
    <col min="2" max="2" width="15.625" customWidth="1"/>
    <col min="3" max="3" width="10.625" customWidth="1"/>
    <col min="4" max="4" width="10.625" hidden="1" customWidth="1"/>
    <col min="5" max="5" width="15.625" customWidth="1"/>
    <col min="6" max="6" width="25.625" customWidth="1"/>
    <col min="7" max="8" width="50.625" customWidth="1"/>
    <col min="9" max="11" width="10.625" style="31" customWidth="1"/>
    <col min="12" max="14" width="30.625" customWidth="1"/>
    <col min="15" max="16" width="10.625" style="31" customWidth="1"/>
    <col min="17" max="17" width="20.625" customWidth="1"/>
    <col min="18" max="18" width="39" hidden="1" customWidth="1"/>
    <col min="19" max="19" width="21.875" hidden="1" customWidth="1"/>
    <col min="20" max="20" width="23.625" hidden="1" customWidth="1"/>
  </cols>
  <sheetData>
    <row r="1" spans="1:20" s="8" customFormat="1" ht="30" customHeight="1">
      <c r="A1" s="7" t="s">
        <v>132</v>
      </c>
      <c r="B1" s="7" t="s">
        <v>134</v>
      </c>
      <c r="C1" s="7" t="s">
        <v>451</v>
      </c>
      <c r="D1" s="7" t="s">
        <v>459</v>
      </c>
      <c r="E1" s="9" t="s">
        <v>1083</v>
      </c>
      <c r="F1" s="7" t="s">
        <v>538</v>
      </c>
      <c r="G1" s="7" t="s">
        <v>448</v>
      </c>
      <c r="H1" s="7" t="s">
        <v>935</v>
      </c>
      <c r="I1" s="7" t="s">
        <v>492</v>
      </c>
      <c r="J1" s="7" t="s">
        <v>464</v>
      </c>
      <c r="K1" s="7" t="s">
        <v>456</v>
      </c>
      <c r="L1" s="7" t="s">
        <v>498</v>
      </c>
      <c r="M1" s="7" t="s">
        <v>480</v>
      </c>
      <c r="N1" s="7" t="s">
        <v>476</v>
      </c>
      <c r="O1" s="7" t="s">
        <v>462</v>
      </c>
      <c r="P1" s="7" t="s">
        <v>457</v>
      </c>
      <c r="Q1" s="7" t="s">
        <v>138</v>
      </c>
      <c r="R1" s="7" t="s">
        <v>466</v>
      </c>
      <c r="S1" s="7" t="s">
        <v>682</v>
      </c>
      <c r="T1" s="7" t="s">
        <v>467</v>
      </c>
    </row>
    <row r="2" spans="1:20" ht="27">
      <c r="A2" s="1">
        <v>141</v>
      </c>
      <c r="B2" s="1" t="s">
        <v>532</v>
      </c>
      <c r="C2" s="1" t="s">
        <v>526</v>
      </c>
      <c r="D2" s="1">
        <v>6</v>
      </c>
      <c r="E2" s="1" t="s">
        <v>868</v>
      </c>
      <c r="F2" s="39" t="s">
        <v>449</v>
      </c>
      <c r="G2" s="2" t="s">
        <v>374</v>
      </c>
      <c r="H2" s="2" t="s">
        <v>228</v>
      </c>
      <c r="I2" s="30"/>
      <c r="J2" s="30"/>
      <c r="K2" s="30" t="s">
        <v>481</v>
      </c>
      <c r="L2" s="2"/>
      <c r="M2" s="2"/>
      <c r="N2" s="2"/>
      <c r="O2" s="30" t="s">
        <v>160</v>
      </c>
      <c r="P2" s="30"/>
      <c r="Q2" s="2"/>
      <c r="R2" s="2"/>
      <c r="S2" s="4"/>
      <c r="T2" s="4"/>
    </row>
    <row r="3" spans="1:20" ht="67.5">
      <c r="A3" s="1">
        <v>159</v>
      </c>
      <c r="B3" s="1" t="s">
        <v>447</v>
      </c>
      <c r="C3" s="1" t="s">
        <v>519</v>
      </c>
      <c r="D3" s="1">
        <v>2</v>
      </c>
      <c r="E3" s="1" t="s">
        <v>926</v>
      </c>
      <c r="F3" s="4" t="s">
        <v>1060</v>
      </c>
      <c r="G3" s="2" t="s">
        <v>359</v>
      </c>
      <c r="H3" s="2" t="s">
        <v>443</v>
      </c>
      <c r="I3" s="30">
        <v>6</v>
      </c>
      <c r="J3" s="32" t="s">
        <v>152</v>
      </c>
      <c r="K3" s="30" t="s">
        <v>479</v>
      </c>
      <c r="L3" s="2"/>
      <c r="M3" s="2"/>
      <c r="N3" s="2"/>
      <c r="O3" s="30" t="s">
        <v>160</v>
      </c>
      <c r="P3" s="30"/>
      <c r="Q3" s="2"/>
      <c r="R3" s="6"/>
      <c r="S3" s="4"/>
      <c r="T3" s="4"/>
    </row>
    <row r="4" spans="1:20" ht="67.5">
      <c r="A4" s="1">
        <v>161</v>
      </c>
      <c r="B4" s="1" t="s">
        <v>447</v>
      </c>
      <c r="C4" s="1" t="s">
        <v>519</v>
      </c>
      <c r="D4" s="1">
        <v>4</v>
      </c>
      <c r="E4" s="1" t="s">
        <v>897</v>
      </c>
      <c r="F4" s="4" t="s">
        <v>1060</v>
      </c>
      <c r="G4" s="2" t="s">
        <v>359</v>
      </c>
      <c r="H4" s="2" t="s">
        <v>314</v>
      </c>
      <c r="I4" s="30">
        <v>6</v>
      </c>
      <c r="J4" s="32" t="s">
        <v>159</v>
      </c>
      <c r="K4" s="30" t="s">
        <v>479</v>
      </c>
      <c r="L4" s="41" t="s">
        <v>115</v>
      </c>
      <c r="M4" s="2"/>
      <c r="N4" s="2"/>
      <c r="O4" s="30" t="s">
        <v>160</v>
      </c>
      <c r="P4" s="30"/>
      <c r="Q4" s="2"/>
      <c r="R4" s="6"/>
      <c r="S4" s="4"/>
      <c r="T4" s="4"/>
    </row>
    <row r="5" spans="1:20" ht="40.5">
      <c r="A5" s="1">
        <v>162</v>
      </c>
      <c r="B5" s="1" t="s">
        <v>447</v>
      </c>
      <c r="C5" s="1" t="s">
        <v>519</v>
      </c>
      <c r="D5" s="1">
        <v>5</v>
      </c>
      <c r="E5" s="1" t="s">
        <v>895</v>
      </c>
      <c r="F5" s="4" t="s">
        <v>1060</v>
      </c>
      <c r="G5" s="2" t="s">
        <v>359</v>
      </c>
      <c r="H5" s="2" t="s">
        <v>596</v>
      </c>
      <c r="I5" s="30">
        <v>6</v>
      </c>
      <c r="J5" s="32" t="s">
        <v>143</v>
      </c>
      <c r="K5" s="30" t="s">
        <v>479</v>
      </c>
      <c r="L5" s="2"/>
      <c r="M5" s="2"/>
      <c r="N5" s="2"/>
      <c r="O5" s="30" t="s">
        <v>160</v>
      </c>
      <c r="P5" s="30"/>
      <c r="Q5" s="2"/>
      <c r="R5" s="6"/>
      <c r="S5" s="4"/>
      <c r="T5" s="4"/>
    </row>
    <row r="6" spans="1:20" ht="54">
      <c r="A6" s="1">
        <v>166</v>
      </c>
      <c r="B6" s="1" t="s">
        <v>447</v>
      </c>
      <c r="C6" s="1" t="s">
        <v>547</v>
      </c>
      <c r="D6" s="1">
        <v>2</v>
      </c>
      <c r="E6" s="1" t="s">
        <v>907</v>
      </c>
      <c r="F6" s="4" t="s">
        <v>674</v>
      </c>
      <c r="G6" s="2" t="s">
        <v>44</v>
      </c>
      <c r="H6" s="2" t="s">
        <v>316</v>
      </c>
      <c r="I6" s="30"/>
      <c r="J6" s="30"/>
      <c r="K6" s="30"/>
      <c r="L6" s="2"/>
      <c r="M6" s="2"/>
      <c r="N6" s="2"/>
      <c r="O6" s="30" t="s">
        <v>160</v>
      </c>
      <c r="P6" s="30"/>
      <c r="Q6" s="2"/>
      <c r="R6" s="2"/>
      <c r="S6" s="4"/>
      <c r="T6" s="4"/>
    </row>
    <row r="7" spans="1:20" ht="67.5">
      <c r="A7" s="1">
        <v>181</v>
      </c>
      <c r="B7" s="1" t="s">
        <v>447</v>
      </c>
      <c r="C7" s="1" t="s">
        <v>562</v>
      </c>
      <c r="D7" s="1">
        <v>11</v>
      </c>
      <c r="E7" s="1" t="s">
        <v>914</v>
      </c>
      <c r="F7" s="4" t="s">
        <v>123</v>
      </c>
      <c r="G7" s="2" t="s">
        <v>53</v>
      </c>
      <c r="H7" s="2" t="s">
        <v>87</v>
      </c>
      <c r="I7" s="30"/>
      <c r="J7" s="30"/>
      <c r="K7" s="30"/>
      <c r="L7" s="2"/>
      <c r="M7" s="2"/>
      <c r="N7" s="2"/>
      <c r="O7" s="30" t="s">
        <v>160</v>
      </c>
      <c r="P7" s="30"/>
      <c r="Q7" s="2"/>
      <c r="R7" s="2"/>
      <c r="S7" s="4"/>
      <c r="T7" s="4"/>
    </row>
    <row r="8" spans="1:20" ht="27">
      <c r="A8" s="1">
        <v>186</v>
      </c>
      <c r="B8" s="1" t="s">
        <v>447</v>
      </c>
      <c r="C8" s="1" t="s">
        <v>549</v>
      </c>
      <c r="D8" s="1">
        <v>1</v>
      </c>
      <c r="E8" s="1" t="s">
        <v>917</v>
      </c>
      <c r="F8" s="4" t="s">
        <v>569</v>
      </c>
      <c r="G8" s="2" t="s">
        <v>428</v>
      </c>
      <c r="H8" s="2" t="s">
        <v>281</v>
      </c>
      <c r="I8" s="30">
        <v>10</v>
      </c>
      <c r="J8" s="30">
        <v>1.47</v>
      </c>
      <c r="K8" s="30" t="s">
        <v>479</v>
      </c>
      <c r="L8" s="2"/>
      <c r="M8" s="2"/>
      <c r="N8" s="2"/>
      <c r="O8" s="30" t="s">
        <v>160</v>
      </c>
      <c r="P8" s="30"/>
      <c r="Q8" s="2"/>
      <c r="R8" s="2"/>
      <c r="S8" s="4" t="s">
        <v>1076</v>
      </c>
      <c r="T8" s="4"/>
    </row>
    <row r="9" spans="1:20" ht="54">
      <c r="A9" s="1">
        <v>187</v>
      </c>
      <c r="B9" s="1" t="s">
        <v>447</v>
      </c>
      <c r="C9" s="1" t="s">
        <v>549</v>
      </c>
      <c r="D9" s="1">
        <v>2</v>
      </c>
      <c r="E9" s="1" t="s">
        <v>929</v>
      </c>
      <c r="F9" s="4" t="s">
        <v>569</v>
      </c>
      <c r="G9" s="2" t="s">
        <v>421</v>
      </c>
      <c r="H9" s="2" t="s">
        <v>103</v>
      </c>
      <c r="I9" s="30"/>
      <c r="J9" s="30"/>
      <c r="K9" s="30" t="s">
        <v>481</v>
      </c>
      <c r="L9" s="2"/>
      <c r="M9" s="2"/>
      <c r="N9" s="2"/>
      <c r="O9" s="30" t="s">
        <v>160</v>
      </c>
      <c r="P9" s="30"/>
      <c r="Q9" s="2"/>
      <c r="R9" s="2" t="s">
        <v>405</v>
      </c>
      <c r="S9" s="4"/>
      <c r="T9" s="4"/>
    </row>
    <row r="10" spans="1:20" ht="40.5">
      <c r="A10" s="1">
        <v>188</v>
      </c>
      <c r="B10" s="1" t="s">
        <v>447</v>
      </c>
      <c r="C10" s="1" t="s">
        <v>549</v>
      </c>
      <c r="D10" s="1">
        <v>3</v>
      </c>
      <c r="E10" s="1" t="s">
        <v>937</v>
      </c>
      <c r="F10" s="4" t="s">
        <v>569</v>
      </c>
      <c r="G10" s="2" t="s">
        <v>421</v>
      </c>
      <c r="H10" s="2" t="s">
        <v>194</v>
      </c>
      <c r="I10" s="30">
        <v>10</v>
      </c>
      <c r="J10" s="30">
        <v>1.48</v>
      </c>
      <c r="K10" s="30" t="s">
        <v>479</v>
      </c>
      <c r="L10" s="2"/>
      <c r="M10" s="2"/>
      <c r="N10" s="2"/>
      <c r="O10" s="30" t="s">
        <v>160</v>
      </c>
      <c r="P10" s="30"/>
      <c r="Q10" s="2"/>
      <c r="R10" s="2"/>
      <c r="S10" s="4"/>
      <c r="T10" s="4"/>
    </row>
    <row r="11" spans="1:20" ht="67.5">
      <c r="A11" s="1">
        <v>189</v>
      </c>
      <c r="B11" s="1" t="s">
        <v>447</v>
      </c>
      <c r="C11" s="1" t="s">
        <v>549</v>
      </c>
      <c r="D11" s="1">
        <v>4</v>
      </c>
      <c r="E11" s="1" t="s">
        <v>927</v>
      </c>
      <c r="F11" s="4" t="s">
        <v>569</v>
      </c>
      <c r="G11" s="2" t="s">
        <v>421</v>
      </c>
      <c r="H11" s="2" t="s">
        <v>313</v>
      </c>
      <c r="I11" s="30">
        <v>10</v>
      </c>
      <c r="J11" s="30">
        <v>1.49</v>
      </c>
      <c r="K11" s="30" t="s">
        <v>479</v>
      </c>
      <c r="L11" s="2"/>
      <c r="M11" s="2"/>
      <c r="N11" s="2"/>
      <c r="O11" s="30" t="s">
        <v>160</v>
      </c>
      <c r="P11" s="30"/>
      <c r="Q11" s="2"/>
      <c r="R11" s="2"/>
      <c r="S11" s="4"/>
      <c r="T11" s="4"/>
    </row>
    <row r="12" spans="1:20" ht="27">
      <c r="A12" s="1">
        <v>190</v>
      </c>
      <c r="B12" s="1" t="s">
        <v>447</v>
      </c>
      <c r="C12" s="1" t="s">
        <v>549</v>
      </c>
      <c r="D12" s="1">
        <v>5</v>
      </c>
      <c r="E12" s="1" t="s">
        <v>945</v>
      </c>
      <c r="F12" s="4" t="s">
        <v>569</v>
      </c>
      <c r="G12" s="2" t="s">
        <v>431</v>
      </c>
      <c r="H12" s="2" t="s">
        <v>254</v>
      </c>
      <c r="I12" s="30">
        <v>10</v>
      </c>
      <c r="J12" s="32" t="s">
        <v>470</v>
      </c>
      <c r="K12" s="30"/>
      <c r="L12" s="2"/>
      <c r="M12" s="2"/>
      <c r="N12" s="2"/>
      <c r="O12" s="30" t="s">
        <v>160</v>
      </c>
      <c r="P12" s="30"/>
      <c r="Q12" s="2"/>
      <c r="R12" s="2" t="s">
        <v>65</v>
      </c>
      <c r="S12" s="4"/>
      <c r="T12" s="4"/>
    </row>
    <row r="13" spans="1:20" ht="27">
      <c r="A13" s="1">
        <v>191</v>
      </c>
      <c r="B13" s="1" t="s">
        <v>447</v>
      </c>
      <c r="C13" s="1" t="s">
        <v>549</v>
      </c>
      <c r="D13" s="1">
        <v>6</v>
      </c>
      <c r="E13" s="1" t="s">
        <v>938</v>
      </c>
      <c r="F13" s="4" t="s">
        <v>569</v>
      </c>
      <c r="G13" s="2" t="s">
        <v>431</v>
      </c>
      <c r="H13" s="2" t="s">
        <v>361</v>
      </c>
      <c r="I13" s="30"/>
      <c r="J13" s="30"/>
      <c r="K13" s="30" t="s">
        <v>481</v>
      </c>
      <c r="L13" s="2"/>
      <c r="M13" s="2"/>
      <c r="N13" s="2"/>
      <c r="O13" s="30" t="s">
        <v>160</v>
      </c>
      <c r="P13" s="30"/>
      <c r="Q13" s="2"/>
      <c r="R13" s="2"/>
      <c r="S13" s="4"/>
      <c r="T13" s="4"/>
    </row>
    <row r="14" spans="1:20" ht="27">
      <c r="A14" s="1">
        <v>192</v>
      </c>
      <c r="B14" s="1" t="s">
        <v>447</v>
      </c>
      <c r="C14" s="1" t="s">
        <v>549</v>
      </c>
      <c r="D14" s="1">
        <v>7</v>
      </c>
      <c r="E14" s="1" t="s">
        <v>936</v>
      </c>
      <c r="F14" s="4" t="s">
        <v>569</v>
      </c>
      <c r="G14" s="2" t="s">
        <v>431</v>
      </c>
      <c r="H14" s="2" t="s">
        <v>606</v>
      </c>
      <c r="I14" s="30"/>
      <c r="J14" s="30"/>
      <c r="K14" s="30" t="s">
        <v>481</v>
      </c>
      <c r="L14" s="2"/>
      <c r="M14" s="2"/>
      <c r="N14" s="2"/>
      <c r="O14" s="30" t="s">
        <v>160</v>
      </c>
      <c r="P14" s="30"/>
      <c r="Q14" s="2"/>
      <c r="R14" s="2"/>
      <c r="S14" s="4"/>
      <c r="T14" s="4"/>
    </row>
    <row r="15" spans="1:20" ht="27">
      <c r="A15" s="1">
        <v>193</v>
      </c>
      <c r="B15" s="1" t="s">
        <v>447</v>
      </c>
      <c r="C15" s="1" t="s">
        <v>549</v>
      </c>
      <c r="D15" s="1">
        <v>8</v>
      </c>
      <c r="E15" s="1" t="s">
        <v>933</v>
      </c>
      <c r="F15" s="4" t="s">
        <v>569</v>
      </c>
      <c r="G15" s="2" t="s">
        <v>247</v>
      </c>
      <c r="H15" s="2"/>
      <c r="I15" s="30"/>
      <c r="J15" s="30"/>
      <c r="K15" s="30" t="s">
        <v>481</v>
      </c>
      <c r="L15" s="2"/>
      <c r="M15" s="2"/>
      <c r="N15" s="2"/>
      <c r="O15" s="30" t="s">
        <v>160</v>
      </c>
      <c r="P15" s="30"/>
      <c r="Q15" s="2"/>
      <c r="R15" s="2"/>
      <c r="S15" s="4"/>
      <c r="T15" s="4"/>
    </row>
    <row r="16" spans="1:20" ht="81">
      <c r="A16" s="1">
        <v>232</v>
      </c>
      <c r="B16" s="1" t="s">
        <v>1064</v>
      </c>
      <c r="C16" s="1" t="s">
        <v>567</v>
      </c>
      <c r="D16" s="1">
        <v>1</v>
      </c>
      <c r="E16" s="1" t="s">
        <v>1133</v>
      </c>
      <c r="F16" s="4" t="s">
        <v>679</v>
      </c>
      <c r="G16" s="2" t="s">
        <v>622</v>
      </c>
      <c r="H16" s="2" t="s">
        <v>327</v>
      </c>
      <c r="I16" s="30"/>
      <c r="J16" s="30"/>
      <c r="K16" s="30" t="s">
        <v>481</v>
      </c>
      <c r="L16" s="2"/>
      <c r="M16" s="2"/>
      <c r="N16" s="2"/>
      <c r="O16" s="30" t="s">
        <v>160</v>
      </c>
      <c r="P16" s="30"/>
      <c r="Q16" s="2"/>
      <c r="R16" s="6" t="s">
        <v>40</v>
      </c>
      <c r="S16" s="4"/>
      <c r="T16" s="4"/>
    </row>
    <row r="17" spans="1:20" ht="54">
      <c r="A17" s="1">
        <v>233</v>
      </c>
      <c r="B17" s="1" t="s">
        <v>1064</v>
      </c>
      <c r="C17" s="1" t="s">
        <v>567</v>
      </c>
      <c r="D17" s="1">
        <v>2</v>
      </c>
      <c r="E17" s="1" t="s">
        <v>1140</v>
      </c>
      <c r="F17" s="4" t="s">
        <v>679</v>
      </c>
      <c r="G17" s="2" t="s">
        <v>622</v>
      </c>
      <c r="H17" s="2" t="s">
        <v>198</v>
      </c>
      <c r="I17" s="30"/>
      <c r="J17" s="30"/>
      <c r="K17" s="30" t="s">
        <v>481</v>
      </c>
      <c r="L17" s="2"/>
      <c r="M17" s="2"/>
      <c r="N17" s="2"/>
      <c r="O17" s="30" t="s">
        <v>160</v>
      </c>
      <c r="P17" s="30"/>
      <c r="Q17" s="2"/>
      <c r="R17" s="6"/>
      <c r="S17" s="4"/>
      <c r="T17" s="4"/>
    </row>
  </sheetData>
  <autoFilter ref="A1:T17"/>
  <customSheetViews>
    <customSheetView guid="{2940EC69-0E40-4162-8549-ED35AA338A49}" showGridLines="0" showAutoFilter="1" hiddenColumns="1" state="hidden" topLeftCell="E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7"/>
    </customSheetView>
    <customSheetView guid="{795AB5AE-C53F-4700-AA4F-485409291E6B}" showGridLines="0" showAutoFilter="1" hiddenColumns="1" state="hidden" topLeftCell="E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7"/>
    </customSheetView>
    <customSheetView guid="{C0B3E00A-6A64-4A32-8796-BF55C9AAD4EA}" showGridLines="0" showAutoFilter="1" hiddenColumns="1" state="hidden" topLeftCell="E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7"/>
    </customSheetView>
    <customSheetView guid="{EB4CA770-1436-4E3D-889F-30E34BABACCC}" showGridLines="0" showAutoFilter="1" hiddenColumns="1" state="hidden" topLeftCell="E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7"/>
    </customSheetView>
    <customSheetView guid="{2A8CFD2D-F9CC-4306-8A26-A82C68617360}" showGridLines="0" showAutoFilter="1" hiddenColumns="1" state="hidden" topLeftCell="E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7"/>
    </customSheetView>
    <customSheetView guid="{70346E6A-FAEE-4C37-A89C-D6DC7354E054}" showGridLines="0" showAutoFilter="1" hiddenColumns="1" state="hidden" topLeftCell="E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7"/>
    </customSheetView>
  </customSheetViews>
  <phoneticPr fontId="13" type="noConversion"/>
  <dataValidations count="1">
    <dataValidation type="list" allowBlank="1" showInputMessage="1" showErrorMessage="1" sqref="K2:K17">
      <formula1>"결정완료,해당없음"</formula1>
    </dataValidation>
  </dataValidations>
  <pageMargins left="0.69972223043441772" right="0.69972223043441772" top="0.75" bottom="0.75" header="0.30000001192092896" footer="0.30000001192092896"/>
  <pageSetup paperSize="9"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T76"/>
  <sheetViews>
    <sheetView showGridLines="0" zoomScale="85" zoomScaleNormal="85" zoomScaleSheetLayoutView="75" workbookViewId="0">
      <pane ySplit="1" topLeftCell="A2" activePane="bottomLeft" state="frozen"/>
      <selection pane="bottomLeft" activeCell="E6" sqref="E6"/>
    </sheetView>
  </sheetViews>
  <sheetFormatPr defaultColWidth="9" defaultRowHeight="16.5"/>
  <cols>
    <col min="1" max="1" width="5.625" customWidth="1"/>
    <col min="2" max="2" width="15.625" customWidth="1"/>
    <col min="3" max="3" width="10.625" customWidth="1"/>
    <col min="4" max="4" width="10.625" hidden="1" customWidth="1"/>
    <col min="5" max="5" width="15.625" customWidth="1"/>
    <col min="6" max="6" width="25.625" customWidth="1"/>
    <col min="7" max="8" width="50.625" customWidth="1"/>
    <col min="9" max="11" width="10.625" style="31" customWidth="1"/>
    <col min="12" max="13" width="30.625" customWidth="1"/>
    <col min="14" max="15" width="10.625" style="31" customWidth="1"/>
    <col min="16" max="16" width="20.625" customWidth="1"/>
    <col min="17" max="17" width="39" hidden="1" customWidth="1"/>
    <col min="18" max="18" width="21.875" hidden="1" customWidth="1"/>
    <col min="19" max="19" width="23.625" hidden="1" customWidth="1"/>
  </cols>
  <sheetData>
    <row r="1" spans="1:19" s="8" customFormat="1" ht="30" customHeight="1">
      <c r="A1" s="7" t="s">
        <v>132</v>
      </c>
      <c r="B1" s="7" t="s">
        <v>134</v>
      </c>
      <c r="C1" s="7" t="s">
        <v>451</v>
      </c>
      <c r="D1" s="7" t="s">
        <v>459</v>
      </c>
      <c r="E1" s="9" t="s">
        <v>1083</v>
      </c>
      <c r="F1" s="7" t="s">
        <v>538</v>
      </c>
      <c r="G1" s="7" t="s">
        <v>448</v>
      </c>
      <c r="H1" s="7" t="s">
        <v>935</v>
      </c>
      <c r="I1" s="7" t="s">
        <v>492</v>
      </c>
      <c r="J1" s="7" t="s">
        <v>464</v>
      </c>
      <c r="K1" s="7" t="s">
        <v>456</v>
      </c>
      <c r="L1" s="7" t="s">
        <v>480</v>
      </c>
      <c r="M1" s="7" t="s">
        <v>476</v>
      </c>
      <c r="N1" s="7" t="s">
        <v>462</v>
      </c>
      <c r="O1" s="7" t="s">
        <v>457</v>
      </c>
      <c r="P1" s="7" t="s">
        <v>138</v>
      </c>
      <c r="Q1" s="7" t="s">
        <v>466</v>
      </c>
      <c r="R1" s="7" t="s">
        <v>682</v>
      </c>
      <c r="S1" s="7" t="s">
        <v>467</v>
      </c>
    </row>
    <row r="2" spans="1:19" ht="40.5">
      <c r="A2" s="1">
        <v>55</v>
      </c>
      <c r="B2" s="1" t="s">
        <v>532</v>
      </c>
      <c r="C2" s="1" t="s">
        <v>535</v>
      </c>
      <c r="D2" s="1">
        <f t="shared" ref="D2:D10" si="0">IF(C1=C2,D1+1,1)</f>
        <v>1</v>
      </c>
      <c r="E2" s="1" t="s">
        <v>985</v>
      </c>
      <c r="F2" s="4" t="s">
        <v>1048</v>
      </c>
      <c r="G2" s="2" t="s">
        <v>304</v>
      </c>
      <c r="H2" s="2" t="s">
        <v>656</v>
      </c>
      <c r="I2" s="30"/>
      <c r="J2" s="30"/>
      <c r="K2" s="30" t="s">
        <v>481</v>
      </c>
      <c r="L2" s="2"/>
      <c r="M2" s="2"/>
      <c r="N2" s="30" t="s">
        <v>160</v>
      </c>
      <c r="O2" s="30"/>
      <c r="P2" s="2"/>
      <c r="Q2" s="2" t="s">
        <v>77</v>
      </c>
      <c r="R2" s="4" t="s">
        <v>694</v>
      </c>
      <c r="S2" s="4" t="s">
        <v>453</v>
      </c>
    </row>
    <row r="3" spans="1:19" ht="27">
      <c r="A3" s="1">
        <v>56</v>
      </c>
      <c r="B3" s="1" t="s">
        <v>532</v>
      </c>
      <c r="C3" s="1" t="s">
        <v>535</v>
      </c>
      <c r="D3" s="1">
        <f t="shared" si="0"/>
        <v>2</v>
      </c>
      <c r="E3" s="1" t="s">
        <v>1003</v>
      </c>
      <c r="F3" s="4" t="s">
        <v>1048</v>
      </c>
      <c r="G3" s="2" t="s">
        <v>304</v>
      </c>
      <c r="H3" s="2" t="s">
        <v>204</v>
      </c>
      <c r="I3" s="30"/>
      <c r="J3" s="30"/>
      <c r="K3" s="30" t="s">
        <v>481</v>
      </c>
      <c r="L3" s="2"/>
      <c r="M3" s="2"/>
      <c r="N3" s="30" t="s">
        <v>160</v>
      </c>
      <c r="O3" s="30"/>
      <c r="P3" s="2"/>
      <c r="Q3" s="2"/>
      <c r="R3" s="4"/>
      <c r="S3" s="4"/>
    </row>
    <row r="4" spans="1:19" ht="27">
      <c r="A4" s="1">
        <v>57</v>
      </c>
      <c r="B4" s="1" t="s">
        <v>532</v>
      </c>
      <c r="C4" s="1" t="s">
        <v>535</v>
      </c>
      <c r="D4" s="1">
        <f t="shared" si="0"/>
        <v>3</v>
      </c>
      <c r="E4" s="1" t="s">
        <v>1012</v>
      </c>
      <c r="F4" s="4" t="s">
        <v>1048</v>
      </c>
      <c r="G4" s="2" t="s">
        <v>304</v>
      </c>
      <c r="H4" s="2" t="s">
        <v>163</v>
      </c>
      <c r="I4" s="30">
        <v>10</v>
      </c>
      <c r="J4" s="32" t="s">
        <v>155</v>
      </c>
      <c r="K4" s="30" t="s">
        <v>479</v>
      </c>
      <c r="L4" s="2"/>
      <c r="M4" s="2"/>
      <c r="N4" s="30" t="s">
        <v>160</v>
      </c>
      <c r="O4" s="30"/>
      <c r="P4" s="2"/>
      <c r="Q4" s="2"/>
      <c r="R4" s="4"/>
      <c r="S4" s="4"/>
    </row>
    <row r="5" spans="1:19" ht="148.5">
      <c r="A5" s="1">
        <v>58</v>
      </c>
      <c r="B5" s="1" t="s">
        <v>532</v>
      </c>
      <c r="C5" s="1" t="s">
        <v>535</v>
      </c>
      <c r="D5" s="1">
        <f t="shared" si="0"/>
        <v>4</v>
      </c>
      <c r="E5" s="1" t="s">
        <v>1002</v>
      </c>
      <c r="F5" s="4" t="s">
        <v>1048</v>
      </c>
      <c r="G5" s="2" t="s">
        <v>420</v>
      </c>
      <c r="H5" s="2" t="s">
        <v>318</v>
      </c>
      <c r="I5" s="30">
        <v>10</v>
      </c>
      <c r="J5" s="32" t="s">
        <v>136</v>
      </c>
      <c r="K5" s="30"/>
      <c r="L5" s="2"/>
      <c r="M5" s="2"/>
      <c r="N5" s="30" t="s">
        <v>160</v>
      </c>
      <c r="O5" s="30"/>
      <c r="P5" s="2"/>
      <c r="Q5" s="2" t="s">
        <v>251</v>
      </c>
      <c r="R5" s="4"/>
      <c r="S5" s="4"/>
    </row>
    <row r="6" spans="1:19" ht="67.5">
      <c r="A6" s="1">
        <v>59</v>
      </c>
      <c r="B6" s="1" t="s">
        <v>532</v>
      </c>
      <c r="C6" s="1" t="s">
        <v>535</v>
      </c>
      <c r="D6" s="1">
        <f t="shared" si="0"/>
        <v>5</v>
      </c>
      <c r="E6" s="1" t="s">
        <v>1014</v>
      </c>
      <c r="F6" s="4" t="s">
        <v>1048</v>
      </c>
      <c r="G6" s="2" t="s">
        <v>420</v>
      </c>
      <c r="H6" s="2" t="s">
        <v>101</v>
      </c>
      <c r="I6" s="30">
        <v>10</v>
      </c>
      <c r="J6" s="32" t="s">
        <v>149</v>
      </c>
      <c r="K6" s="30"/>
      <c r="L6" s="2"/>
      <c r="M6" s="2"/>
      <c r="N6" s="30" t="s">
        <v>160</v>
      </c>
      <c r="O6" s="30"/>
      <c r="P6" s="2"/>
      <c r="Q6" s="2"/>
      <c r="R6" s="4"/>
      <c r="S6" s="4"/>
    </row>
    <row r="7" spans="1:19" ht="27">
      <c r="A7" s="1">
        <v>60</v>
      </c>
      <c r="B7" s="1" t="s">
        <v>532</v>
      </c>
      <c r="C7" s="1" t="s">
        <v>535</v>
      </c>
      <c r="D7" s="1">
        <f t="shared" si="0"/>
        <v>6</v>
      </c>
      <c r="E7" s="1" t="s">
        <v>997</v>
      </c>
      <c r="F7" s="4" t="s">
        <v>1048</v>
      </c>
      <c r="G7" s="2" t="s">
        <v>420</v>
      </c>
      <c r="H7" s="2" t="s">
        <v>169</v>
      </c>
      <c r="I7" s="30">
        <v>10</v>
      </c>
      <c r="J7" s="32" t="s">
        <v>507</v>
      </c>
      <c r="K7" s="30"/>
      <c r="L7" s="2"/>
      <c r="M7" s="2"/>
      <c r="N7" s="30" t="s">
        <v>160</v>
      </c>
      <c r="O7" s="30"/>
      <c r="P7" s="2"/>
      <c r="Q7" s="2"/>
      <c r="R7" s="4"/>
      <c r="S7" s="4"/>
    </row>
    <row r="8" spans="1:19" ht="27">
      <c r="A8" s="1">
        <v>61</v>
      </c>
      <c r="B8" s="1" t="s">
        <v>532</v>
      </c>
      <c r="C8" s="1" t="s">
        <v>535</v>
      </c>
      <c r="D8" s="1">
        <f t="shared" si="0"/>
        <v>7</v>
      </c>
      <c r="E8" s="1" t="s">
        <v>989</v>
      </c>
      <c r="F8" s="4" t="s">
        <v>1048</v>
      </c>
      <c r="G8" s="2" t="s">
        <v>420</v>
      </c>
      <c r="H8" s="2" t="s">
        <v>295</v>
      </c>
      <c r="I8" s="30">
        <v>10</v>
      </c>
      <c r="J8" s="30">
        <v>1.1100000000000001</v>
      </c>
      <c r="K8" s="30"/>
      <c r="L8" s="2"/>
      <c r="M8" s="2"/>
      <c r="N8" s="30" t="s">
        <v>160</v>
      </c>
      <c r="O8" s="30"/>
      <c r="P8" s="2"/>
      <c r="Q8" s="2"/>
      <c r="R8" s="4"/>
      <c r="S8" s="4"/>
    </row>
    <row r="9" spans="1:19" ht="27">
      <c r="A9" s="1">
        <v>62</v>
      </c>
      <c r="B9" s="1" t="s">
        <v>532</v>
      </c>
      <c r="C9" s="1" t="s">
        <v>535</v>
      </c>
      <c r="D9" s="1">
        <f t="shared" si="0"/>
        <v>8</v>
      </c>
      <c r="E9" s="1" t="s">
        <v>998</v>
      </c>
      <c r="F9" s="4" t="s">
        <v>1048</v>
      </c>
      <c r="G9" s="2" t="s">
        <v>242</v>
      </c>
      <c r="H9" s="2"/>
      <c r="I9" s="30"/>
      <c r="J9" s="30"/>
      <c r="K9" s="30" t="s">
        <v>481</v>
      </c>
      <c r="L9" s="2"/>
      <c r="M9" s="2"/>
      <c r="N9" s="30" t="s">
        <v>160</v>
      </c>
      <c r="O9" s="30"/>
      <c r="P9" s="2"/>
      <c r="Q9" s="2"/>
      <c r="R9" s="4"/>
      <c r="S9" s="4"/>
    </row>
    <row r="10" spans="1:19" ht="54">
      <c r="A10" s="1">
        <v>63</v>
      </c>
      <c r="B10" s="1" t="s">
        <v>532</v>
      </c>
      <c r="C10" s="1" t="s">
        <v>535</v>
      </c>
      <c r="D10" s="1">
        <f t="shared" si="0"/>
        <v>9</v>
      </c>
      <c r="E10" s="1" t="s">
        <v>990</v>
      </c>
      <c r="F10" s="4" t="s">
        <v>1048</v>
      </c>
      <c r="G10" s="2" t="s">
        <v>170</v>
      </c>
      <c r="H10" s="2" t="s">
        <v>296</v>
      </c>
      <c r="I10" s="30">
        <v>10</v>
      </c>
      <c r="J10" s="32" t="s">
        <v>486</v>
      </c>
      <c r="K10" s="30" t="s">
        <v>479</v>
      </c>
      <c r="L10" s="2"/>
      <c r="M10" s="2"/>
      <c r="N10" s="30" t="s">
        <v>160</v>
      </c>
      <c r="O10" s="30"/>
      <c r="P10" s="2"/>
      <c r="Q10" s="2" t="s">
        <v>414</v>
      </c>
      <c r="R10" s="4" t="s">
        <v>395</v>
      </c>
      <c r="S10" s="4"/>
    </row>
    <row r="11" spans="1:19" ht="27">
      <c r="A11" s="1">
        <v>64</v>
      </c>
      <c r="B11" s="1" t="s">
        <v>532</v>
      </c>
      <c r="C11" s="1" t="s">
        <v>535</v>
      </c>
      <c r="D11" s="1">
        <v>10</v>
      </c>
      <c r="E11" s="1" t="s">
        <v>995</v>
      </c>
      <c r="F11" s="4" t="s">
        <v>1048</v>
      </c>
      <c r="G11" s="40" t="s">
        <v>380</v>
      </c>
      <c r="H11" s="2"/>
      <c r="I11" s="30"/>
      <c r="J11" s="30"/>
      <c r="K11" s="30" t="s">
        <v>481</v>
      </c>
      <c r="L11" s="2"/>
      <c r="M11" s="2"/>
      <c r="N11" s="30" t="s">
        <v>160</v>
      </c>
      <c r="O11" s="30"/>
      <c r="P11" s="2"/>
      <c r="Q11" s="2" t="s">
        <v>409</v>
      </c>
      <c r="R11" s="4" t="s">
        <v>1080</v>
      </c>
      <c r="S11" s="4"/>
    </row>
    <row r="12" spans="1:19" ht="27">
      <c r="A12" s="1">
        <v>65</v>
      </c>
      <c r="B12" s="1" t="s">
        <v>532</v>
      </c>
      <c r="C12" s="1" t="s">
        <v>1046</v>
      </c>
      <c r="D12" s="1">
        <v>1</v>
      </c>
      <c r="E12" s="1" t="s">
        <v>701</v>
      </c>
      <c r="F12" s="4" t="s">
        <v>1045</v>
      </c>
      <c r="G12" s="2" t="s">
        <v>249</v>
      </c>
      <c r="H12" s="2" t="s">
        <v>250</v>
      </c>
      <c r="I12" s="30"/>
      <c r="J12" s="30"/>
      <c r="K12" s="30" t="s">
        <v>481</v>
      </c>
      <c r="L12" s="2"/>
      <c r="M12" s="2"/>
      <c r="N12" s="30" t="s">
        <v>160</v>
      </c>
      <c r="O12" s="30"/>
      <c r="P12" s="2"/>
      <c r="Q12" s="2" t="s">
        <v>772</v>
      </c>
      <c r="R12" s="4"/>
      <c r="S12" s="4"/>
    </row>
    <row r="13" spans="1:19" ht="27">
      <c r="A13" s="1">
        <v>66</v>
      </c>
      <c r="B13" s="1" t="s">
        <v>532</v>
      </c>
      <c r="C13" s="1" t="s">
        <v>1046</v>
      </c>
      <c r="D13" s="1">
        <v>2</v>
      </c>
      <c r="E13" s="1" t="s">
        <v>699</v>
      </c>
      <c r="F13" s="4" t="s">
        <v>1045</v>
      </c>
      <c r="G13" s="2" t="s">
        <v>249</v>
      </c>
      <c r="H13" s="2" t="s">
        <v>610</v>
      </c>
      <c r="I13" s="30"/>
      <c r="J13" s="30"/>
      <c r="K13" s="30" t="s">
        <v>481</v>
      </c>
      <c r="L13" s="2"/>
      <c r="M13" s="2"/>
      <c r="N13" s="30" t="s">
        <v>160</v>
      </c>
      <c r="O13" s="30"/>
      <c r="P13" s="2"/>
      <c r="Q13" s="2"/>
      <c r="R13" s="4"/>
      <c r="S13" s="4"/>
    </row>
    <row r="14" spans="1:19" ht="67.5">
      <c r="A14" s="1">
        <v>67</v>
      </c>
      <c r="B14" s="1" t="s">
        <v>532</v>
      </c>
      <c r="C14" s="1" t="s">
        <v>1046</v>
      </c>
      <c r="D14" s="1">
        <v>3</v>
      </c>
      <c r="E14" s="1" t="s">
        <v>665</v>
      </c>
      <c r="F14" s="4" t="s">
        <v>1045</v>
      </c>
      <c r="G14" s="2" t="s">
        <v>249</v>
      </c>
      <c r="H14" s="2" t="s">
        <v>312</v>
      </c>
      <c r="I14" s="30">
        <v>10</v>
      </c>
      <c r="J14" s="30">
        <v>1.1299999999999999</v>
      </c>
      <c r="K14" s="30" t="s">
        <v>479</v>
      </c>
      <c r="L14" s="2"/>
      <c r="M14" s="2"/>
      <c r="N14" s="30" t="s">
        <v>160</v>
      </c>
      <c r="O14" s="30"/>
      <c r="P14" s="2"/>
      <c r="Q14" s="2"/>
      <c r="R14" s="4"/>
      <c r="S14" s="4"/>
    </row>
    <row r="15" spans="1:19" ht="27">
      <c r="A15" s="1">
        <v>68</v>
      </c>
      <c r="B15" s="1" t="s">
        <v>532</v>
      </c>
      <c r="C15" s="1" t="s">
        <v>1046</v>
      </c>
      <c r="D15" s="1">
        <v>4</v>
      </c>
      <c r="E15" s="1" t="s">
        <v>672</v>
      </c>
      <c r="F15" s="4" t="s">
        <v>1045</v>
      </c>
      <c r="G15" s="2" t="s">
        <v>265</v>
      </c>
      <c r="H15" s="2"/>
      <c r="I15" s="30">
        <v>10</v>
      </c>
      <c r="J15" s="30">
        <v>1.1399999999999999</v>
      </c>
      <c r="K15" s="30" t="s">
        <v>479</v>
      </c>
      <c r="L15" s="2"/>
      <c r="M15" s="2"/>
      <c r="N15" s="30" t="s">
        <v>160</v>
      </c>
      <c r="O15" s="30"/>
      <c r="P15" s="2"/>
      <c r="Q15" s="2" t="s">
        <v>669</v>
      </c>
      <c r="R15" s="4"/>
      <c r="S15" s="4"/>
    </row>
    <row r="16" spans="1:19" ht="40.5">
      <c r="A16" s="1">
        <v>69</v>
      </c>
      <c r="B16" s="1" t="s">
        <v>532</v>
      </c>
      <c r="C16" s="1" t="s">
        <v>1046</v>
      </c>
      <c r="D16" s="1">
        <v>5</v>
      </c>
      <c r="E16" s="1" t="s">
        <v>666</v>
      </c>
      <c r="F16" s="4" t="s">
        <v>1045</v>
      </c>
      <c r="G16" s="2" t="s">
        <v>257</v>
      </c>
      <c r="H16" s="2"/>
      <c r="I16" s="30"/>
      <c r="J16" s="30"/>
      <c r="K16" s="30" t="s">
        <v>481</v>
      </c>
      <c r="L16" s="2"/>
      <c r="M16" s="2"/>
      <c r="N16" s="30" t="s">
        <v>160</v>
      </c>
      <c r="O16" s="30"/>
      <c r="P16" s="2"/>
      <c r="Q16" s="2"/>
      <c r="R16" s="4"/>
      <c r="S16" s="4"/>
    </row>
    <row r="17" spans="1:19" ht="27">
      <c r="A17" s="1">
        <v>70</v>
      </c>
      <c r="B17" s="1" t="s">
        <v>532</v>
      </c>
      <c r="C17" s="1" t="s">
        <v>1046</v>
      </c>
      <c r="D17" s="1">
        <v>6</v>
      </c>
      <c r="E17" s="1" t="s">
        <v>690</v>
      </c>
      <c r="F17" s="4" t="s">
        <v>1045</v>
      </c>
      <c r="G17" s="2" t="s">
        <v>737</v>
      </c>
      <c r="H17" s="2"/>
      <c r="I17" s="30"/>
      <c r="J17" s="30"/>
      <c r="K17" s="30" t="s">
        <v>481</v>
      </c>
      <c r="L17" s="2"/>
      <c r="M17" s="2"/>
      <c r="N17" s="30" t="s">
        <v>160</v>
      </c>
      <c r="O17" s="30"/>
      <c r="P17" s="2"/>
      <c r="Q17" s="2" t="s">
        <v>642</v>
      </c>
      <c r="R17" s="4"/>
      <c r="S17" s="4"/>
    </row>
    <row r="18" spans="1:19">
      <c r="A18" s="1">
        <v>71</v>
      </c>
      <c r="B18" s="1" t="s">
        <v>532</v>
      </c>
      <c r="C18" s="1" t="s">
        <v>1046</v>
      </c>
      <c r="D18" s="1">
        <v>7</v>
      </c>
      <c r="E18" s="1" t="s">
        <v>667</v>
      </c>
      <c r="F18" s="4" t="s">
        <v>1045</v>
      </c>
      <c r="G18" s="2" t="s">
        <v>728</v>
      </c>
      <c r="H18" s="2" t="s">
        <v>733</v>
      </c>
      <c r="I18" s="30">
        <v>10</v>
      </c>
      <c r="J18" s="30">
        <v>1.1499999999999999</v>
      </c>
      <c r="K18" s="30" t="s">
        <v>479</v>
      </c>
      <c r="L18" s="2"/>
      <c r="M18" s="2"/>
      <c r="N18" s="30" t="s">
        <v>160</v>
      </c>
      <c r="O18" s="30"/>
      <c r="P18" s="2"/>
      <c r="Q18" s="2" t="s">
        <v>668</v>
      </c>
      <c r="R18" s="4"/>
      <c r="S18" s="4"/>
    </row>
    <row r="19" spans="1:19" ht="27">
      <c r="A19" s="1">
        <v>72</v>
      </c>
      <c r="B19" s="1" t="s">
        <v>532</v>
      </c>
      <c r="C19" s="1" t="s">
        <v>1046</v>
      </c>
      <c r="D19" s="1">
        <v>8</v>
      </c>
      <c r="E19" s="1" t="s">
        <v>688</v>
      </c>
      <c r="F19" s="4" t="s">
        <v>1045</v>
      </c>
      <c r="G19" s="2" t="s">
        <v>231</v>
      </c>
      <c r="H19" s="2"/>
      <c r="I19" s="30"/>
      <c r="J19" s="30"/>
      <c r="K19" s="30" t="s">
        <v>481</v>
      </c>
      <c r="L19" s="2"/>
      <c r="M19" s="2"/>
      <c r="N19" s="30" t="s">
        <v>160</v>
      </c>
      <c r="O19" s="30"/>
      <c r="P19" s="2"/>
      <c r="Q19" s="2"/>
      <c r="R19" s="4" t="s">
        <v>680</v>
      </c>
      <c r="S19" s="4"/>
    </row>
    <row r="20" spans="1:19" ht="54">
      <c r="A20" s="1">
        <v>73</v>
      </c>
      <c r="B20" s="1" t="s">
        <v>532</v>
      </c>
      <c r="C20" s="1" t="s">
        <v>1046</v>
      </c>
      <c r="D20" s="1">
        <v>9</v>
      </c>
      <c r="E20" s="1" t="s">
        <v>695</v>
      </c>
      <c r="F20" s="4" t="s">
        <v>1045</v>
      </c>
      <c r="G20" s="2" t="s">
        <v>170</v>
      </c>
      <c r="H20" s="2" t="s">
        <v>296</v>
      </c>
      <c r="I20" s="30">
        <v>10</v>
      </c>
      <c r="J20" s="30">
        <v>1.1599999999999999</v>
      </c>
      <c r="K20" s="30"/>
      <c r="L20" s="2"/>
      <c r="M20" s="2"/>
      <c r="N20" s="30" t="s">
        <v>160</v>
      </c>
      <c r="O20" s="30"/>
      <c r="P20" s="2"/>
      <c r="Q20" s="2"/>
      <c r="R20" s="4" t="s">
        <v>395</v>
      </c>
      <c r="S20" s="4"/>
    </row>
    <row r="21" spans="1:19" ht="81">
      <c r="A21" s="1">
        <v>74</v>
      </c>
      <c r="B21" s="1" t="s">
        <v>532</v>
      </c>
      <c r="C21" s="1" t="s">
        <v>1046</v>
      </c>
      <c r="D21" s="1">
        <v>10</v>
      </c>
      <c r="E21" s="1" t="s">
        <v>691</v>
      </c>
      <c r="F21" s="4" t="s">
        <v>1045</v>
      </c>
      <c r="G21" s="40" t="s">
        <v>317</v>
      </c>
      <c r="H21" s="2"/>
      <c r="I21" s="30"/>
      <c r="J21" s="30"/>
      <c r="K21" s="30" t="s">
        <v>481</v>
      </c>
      <c r="L21" s="2"/>
      <c r="M21" s="2"/>
      <c r="N21" s="30" t="s">
        <v>160</v>
      </c>
      <c r="O21" s="30"/>
      <c r="P21" s="2"/>
      <c r="Q21" s="2" t="s">
        <v>409</v>
      </c>
      <c r="R21" s="4" t="s">
        <v>598</v>
      </c>
      <c r="S21" s="4"/>
    </row>
    <row r="22" spans="1:19" ht="54">
      <c r="A22" s="1">
        <v>75</v>
      </c>
      <c r="B22" s="1" t="s">
        <v>532</v>
      </c>
      <c r="C22" s="1" t="s">
        <v>521</v>
      </c>
      <c r="D22" s="1">
        <v>1</v>
      </c>
      <c r="E22" s="1" t="s">
        <v>1000</v>
      </c>
      <c r="F22" s="4" t="s">
        <v>522</v>
      </c>
      <c r="G22" s="2" t="s">
        <v>714</v>
      </c>
      <c r="H22" s="2" t="s">
        <v>368</v>
      </c>
      <c r="I22" s="30">
        <v>10</v>
      </c>
      <c r="J22" s="30">
        <v>1.17</v>
      </c>
      <c r="K22" s="30" t="s">
        <v>479</v>
      </c>
      <c r="L22" s="2"/>
      <c r="M22" s="2"/>
      <c r="N22" s="30" t="s">
        <v>160</v>
      </c>
      <c r="O22" s="30"/>
      <c r="P22" s="2"/>
      <c r="Q22" s="2" t="s">
        <v>442</v>
      </c>
      <c r="R22" s="4" t="s">
        <v>1077</v>
      </c>
      <c r="S22" s="4"/>
    </row>
    <row r="23" spans="1:19" ht="27">
      <c r="A23" s="1">
        <v>76</v>
      </c>
      <c r="B23" s="1" t="s">
        <v>532</v>
      </c>
      <c r="C23" s="1" t="s">
        <v>521</v>
      </c>
      <c r="D23" s="1">
        <v>2</v>
      </c>
      <c r="E23" s="1" t="s">
        <v>992</v>
      </c>
      <c r="F23" s="4" t="s">
        <v>522</v>
      </c>
      <c r="G23" s="2" t="s">
        <v>714</v>
      </c>
      <c r="H23" s="2" t="s">
        <v>632</v>
      </c>
      <c r="I23" s="30"/>
      <c r="J23" s="30"/>
      <c r="K23" s="30" t="s">
        <v>481</v>
      </c>
      <c r="L23" s="2"/>
      <c r="M23" s="2"/>
      <c r="N23" s="30" t="s">
        <v>160</v>
      </c>
      <c r="O23" s="30"/>
      <c r="P23" s="2"/>
      <c r="Q23" s="2"/>
      <c r="R23" s="4"/>
      <c r="S23" s="4"/>
    </row>
    <row r="24" spans="1:19" ht="27">
      <c r="A24" s="1">
        <v>77</v>
      </c>
      <c r="B24" s="1" t="s">
        <v>532</v>
      </c>
      <c r="C24" s="1" t="s">
        <v>521</v>
      </c>
      <c r="D24" s="1">
        <v>3</v>
      </c>
      <c r="E24" s="1" t="s">
        <v>991</v>
      </c>
      <c r="F24" s="4" t="s">
        <v>522</v>
      </c>
      <c r="G24" s="2" t="s">
        <v>714</v>
      </c>
      <c r="H24" s="2" t="s">
        <v>236</v>
      </c>
      <c r="I24" s="30"/>
      <c r="J24" s="30"/>
      <c r="K24" s="30" t="s">
        <v>481</v>
      </c>
      <c r="L24" s="2"/>
      <c r="M24" s="2"/>
      <c r="N24" s="30" t="s">
        <v>160</v>
      </c>
      <c r="O24" s="30"/>
      <c r="P24" s="2"/>
      <c r="Q24" s="2"/>
      <c r="R24" s="4"/>
      <c r="S24" s="4"/>
    </row>
    <row r="25" spans="1:19" ht="67.5">
      <c r="A25" s="1">
        <v>78</v>
      </c>
      <c r="B25" s="1" t="s">
        <v>532</v>
      </c>
      <c r="C25" s="1" t="s">
        <v>521</v>
      </c>
      <c r="D25" s="1">
        <v>4</v>
      </c>
      <c r="E25" s="1" t="s">
        <v>1005</v>
      </c>
      <c r="F25" s="4" t="s">
        <v>522</v>
      </c>
      <c r="G25" s="2" t="s">
        <v>595</v>
      </c>
      <c r="H25" s="2" t="s">
        <v>36</v>
      </c>
      <c r="I25" s="30">
        <v>10</v>
      </c>
      <c r="J25" s="30">
        <v>1.18</v>
      </c>
      <c r="K25" s="30" t="s">
        <v>479</v>
      </c>
      <c r="L25" s="2"/>
      <c r="M25" s="2"/>
      <c r="N25" s="30" t="s">
        <v>160</v>
      </c>
      <c r="O25" s="30"/>
      <c r="P25" s="2"/>
      <c r="Q25" s="2" t="s">
        <v>196</v>
      </c>
      <c r="R25" s="4" t="s">
        <v>393</v>
      </c>
      <c r="S25" s="4"/>
    </row>
    <row r="26" spans="1:19" ht="40.5">
      <c r="A26" s="1">
        <v>79</v>
      </c>
      <c r="B26" s="1" t="s">
        <v>532</v>
      </c>
      <c r="C26" s="1" t="s">
        <v>521</v>
      </c>
      <c r="D26" s="1">
        <v>5</v>
      </c>
      <c r="E26" s="1" t="s">
        <v>1004</v>
      </c>
      <c r="F26" s="4" t="s">
        <v>522</v>
      </c>
      <c r="G26" s="2" t="s">
        <v>595</v>
      </c>
      <c r="H26" s="2" t="s">
        <v>351</v>
      </c>
      <c r="I26" s="30"/>
      <c r="J26" s="30"/>
      <c r="K26" s="30" t="s">
        <v>481</v>
      </c>
      <c r="L26" s="2"/>
      <c r="M26" s="2"/>
      <c r="N26" s="30" t="s">
        <v>160</v>
      </c>
      <c r="O26" s="30"/>
      <c r="P26" s="2"/>
      <c r="Q26" s="2"/>
      <c r="R26" s="4"/>
      <c r="S26" s="4"/>
    </row>
    <row r="27" spans="1:19" ht="54">
      <c r="A27" s="1">
        <v>80</v>
      </c>
      <c r="B27" s="1" t="s">
        <v>532</v>
      </c>
      <c r="C27" s="1" t="s">
        <v>521</v>
      </c>
      <c r="D27" s="1">
        <v>6</v>
      </c>
      <c r="E27" s="1" t="s">
        <v>1006</v>
      </c>
      <c r="F27" s="4" t="s">
        <v>522</v>
      </c>
      <c r="G27" s="2" t="s">
        <v>595</v>
      </c>
      <c r="H27" s="2" t="s">
        <v>100</v>
      </c>
      <c r="I27" s="30"/>
      <c r="J27" s="30"/>
      <c r="K27" s="30" t="s">
        <v>481</v>
      </c>
      <c r="L27" s="2"/>
      <c r="M27" s="2"/>
      <c r="N27" s="30" t="s">
        <v>160</v>
      </c>
      <c r="O27" s="30"/>
      <c r="P27" s="2"/>
      <c r="Q27" s="2"/>
      <c r="R27" s="4"/>
      <c r="S27" s="4"/>
    </row>
    <row r="28" spans="1:19" ht="27">
      <c r="A28" s="1">
        <v>81</v>
      </c>
      <c r="B28" s="1" t="s">
        <v>532</v>
      </c>
      <c r="C28" s="1" t="s">
        <v>521</v>
      </c>
      <c r="D28" s="1">
        <v>7</v>
      </c>
      <c r="E28" s="1" t="s">
        <v>1007</v>
      </c>
      <c r="F28" s="4" t="s">
        <v>522</v>
      </c>
      <c r="G28" s="2" t="s">
        <v>417</v>
      </c>
      <c r="H28" s="2" t="s">
        <v>383</v>
      </c>
      <c r="I28" s="30">
        <v>10</v>
      </c>
      <c r="J28" s="30">
        <v>1.19</v>
      </c>
      <c r="K28" s="30" t="s">
        <v>479</v>
      </c>
      <c r="L28" s="2"/>
      <c r="M28" s="2"/>
      <c r="N28" s="30" t="s">
        <v>160</v>
      </c>
      <c r="O28" s="30"/>
      <c r="P28" s="2"/>
      <c r="Q28" s="2"/>
      <c r="R28" s="4"/>
      <c r="S28" s="4"/>
    </row>
    <row r="29" spans="1:19" ht="54">
      <c r="A29" s="1">
        <v>82</v>
      </c>
      <c r="B29" s="1" t="s">
        <v>532</v>
      </c>
      <c r="C29" s="1" t="s">
        <v>521</v>
      </c>
      <c r="D29" s="1">
        <v>8</v>
      </c>
      <c r="E29" s="1" t="s">
        <v>1011</v>
      </c>
      <c r="F29" s="4" t="s">
        <v>522</v>
      </c>
      <c r="G29" s="2" t="s">
        <v>24</v>
      </c>
      <c r="H29" s="2" t="s">
        <v>296</v>
      </c>
      <c r="I29" s="30">
        <v>10</v>
      </c>
      <c r="J29" s="32" t="s">
        <v>469</v>
      </c>
      <c r="K29" s="30" t="s">
        <v>479</v>
      </c>
      <c r="L29" s="2"/>
      <c r="M29" s="2"/>
      <c r="N29" s="30" t="s">
        <v>160</v>
      </c>
      <c r="O29" s="30"/>
      <c r="P29" s="2"/>
      <c r="Q29" s="2"/>
      <c r="R29" s="4" t="s">
        <v>395</v>
      </c>
      <c r="S29" s="4"/>
    </row>
    <row r="30" spans="1:19" ht="27">
      <c r="A30" s="1">
        <v>83</v>
      </c>
      <c r="B30" s="1" t="s">
        <v>532</v>
      </c>
      <c r="C30" s="1" t="s">
        <v>521</v>
      </c>
      <c r="D30" s="1">
        <v>9</v>
      </c>
      <c r="E30" s="1" t="s">
        <v>1001</v>
      </c>
      <c r="F30" s="4" t="s">
        <v>522</v>
      </c>
      <c r="G30" s="40" t="s">
        <v>380</v>
      </c>
      <c r="H30" s="2"/>
      <c r="I30" s="30"/>
      <c r="J30" s="30"/>
      <c r="K30" s="30" t="s">
        <v>481</v>
      </c>
      <c r="L30" s="2"/>
      <c r="M30" s="2"/>
      <c r="N30" s="30" t="s">
        <v>160</v>
      </c>
      <c r="O30" s="30"/>
      <c r="P30" s="2"/>
      <c r="Q30" s="2" t="s">
        <v>409</v>
      </c>
      <c r="R30" s="4" t="s">
        <v>1080</v>
      </c>
      <c r="S30" s="4"/>
    </row>
    <row r="31" spans="1:19" ht="27">
      <c r="A31" s="1">
        <v>84</v>
      </c>
      <c r="B31" s="1" t="s">
        <v>532</v>
      </c>
      <c r="C31" s="1" t="s">
        <v>551</v>
      </c>
      <c r="D31" s="1">
        <v>1</v>
      </c>
      <c r="E31" s="1" t="s">
        <v>1018</v>
      </c>
      <c r="F31" s="4" t="s">
        <v>525</v>
      </c>
      <c r="G31" s="2" t="s">
        <v>175</v>
      </c>
      <c r="H31" s="2"/>
      <c r="I31" s="30"/>
      <c r="J31" s="30"/>
      <c r="K31" s="30" t="s">
        <v>481</v>
      </c>
      <c r="L31" s="2"/>
      <c r="M31" s="2"/>
      <c r="N31" s="30" t="s">
        <v>160</v>
      </c>
      <c r="O31" s="30"/>
      <c r="P31" s="2"/>
      <c r="Q31" s="2" t="s">
        <v>404</v>
      </c>
      <c r="R31" s="4" t="s">
        <v>1079</v>
      </c>
      <c r="S31" s="4"/>
    </row>
    <row r="32" spans="1:19" ht="54">
      <c r="A32" s="1">
        <v>85</v>
      </c>
      <c r="B32" s="1" t="s">
        <v>532</v>
      </c>
      <c r="C32" s="1" t="s">
        <v>551</v>
      </c>
      <c r="D32" s="1">
        <v>2</v>
      </c>
      <c r="E32" s="1" t="s">
        <v>1009</v>
      </c>
      <c r="F32" s="4" t="s">
        <v>525</v>
      </c>
      <c r="G32" s="2" t="s">
        <v>333</v>
      </c>
      <c r="H32" s="2"/>
      <c r="I32" s="30">
        <v>10</v>
      </c>
      <c r="J32" s="30">
        <v>1.21</v>
      </c>
      <c r="K32" s="30" t="s">
        <v>479</v>
      </c>
      <c r="L32" s="2"/>
      <c r="M32" s="2"/>
      <c r="N32" s="30" t="s">
        <v>160</v>
      </c>
      <c r="O32" s="30"/>
      <c r="P32" s="2"/>
      <c r="Q32" s="2"/>
      <c r="R32" s="4" t="s">
        <v>395</v>
      </c>
      <c r="S32" s="4"/>
    </row>
    <row r="33" spans="1:19" ht="94.5">
      <c r="A33" s="1">
        <v>86</v>
      </c>
      <c r="B33" s="1" t="s">
        <v>532</v>
      </c>
      <c r="C33" s="1" t="s">
        <v>551</v>
      </c>
      <c r="D33" s="1">
        <v>3</v>
      </c>
      <c r="E33" s="1" t="s">
        <v>1016</v>
      </c>
      <c r="F33" s="4" t="s">
        <v>525</v>
      </c>
      <c r="G33" s="2" t="s">
        <v>347</v>
      </c>
      <c r="H33" s="2" t="s">
        <v>648</v>
      </c>
      <c r="I33" s="30"/>
      <c r="J33" s="30"/>
      <c r="K33" s="30" t="s">
        <v>481</v>
      </c>
      <c r="L33" s="2"/>
      <c r="M33" s="2"/>
      <c r="N33" s="30" t="s">
        <v>160</v>
      </c>
      <c r="O33" s="30"/>
      <c r="P33" s="2"/>
      <c r="Q33" s="2" t="s">
        <v>291</v>
      </c>
      <c r="R33" s="4"/>
      <c r="S33" s="4"/>
    </row>
    <row r="34" spans="1:19" ht="27">
      <c r="A34" s="1">
        <v>87</v>
      </c>
      <c r="B34" s="1" t="s">
        <v>532</v>
      </c>
      <c r="C34" s="1" t="s">
        <v>551</v>
      </c>
      <c r="D34" s="1">
        <v>4</v>
      </c>
      <c r="E34" s="1" t="s">
        <v>1017</v>
      </c>
      <c r="F34" s="4" t="s">
        <v>525</v>
      </c>
      <c r="G34" s="2" t="s">
        <v>347</v>
      </c>
      <c r="H34" s="2" t="s">
        <v>209</v>
      </c>
      <c r="I34" s="30">
        <v>10</v>
      </c>
      <c r="J34" s="30">
        <v>1.22</v>
      </c>
      <c r="K34" s="30" t="s">
        <v>479</v>
      </c>
      <c r="L34" s="2"/>
      <c r="M34" s="2"/>
      <c r="N34" s="30" t="s">
        <v>160</v>
      </c>
      <c r="O34" s="30"/>
      <c r="P34" s="2"/>
      <c r="Q34" s="2"/>
      <c r="R34" s="4"/>
      <c r="S34" s="4"/>
    </row>
    <row r="35" spans="1:19" ht="67.5">
      <c r="A35" s="1">
        <v>88</v>
      </c>
      <c r="B35" s="1" t="s">
        <v>532</v>
      </c>
      <c r="C35" s="1" t="s">
        <v>551</v>
      </c>
      <c r="D35" s="1">
        <v>5</v>
      </c>
      <c r="E35" s="1" t="s">
        <v>1010</v>
      </c>
      <c r="F35" s="4" t="s">
        <v>525</v>
      </c>
      <c r="G35" s="2" t="s">
        <v>347</v>
      </c>
      <c r="H35" s="40" t="s">
        <v>182</v>
      </c>
      <c r="I35" s="30">
        <v>10</v>
      </c>
      <c r="J35" s="30">
        <v>1.23</v>
      </c>
      <c r="K35" s="30" t="s">
        <v>479</v>
      </c>
      <c r="L35" s="2"/>
      <c r="M35" s="2"/>
      <c r="N35" s="30" t="s">
        <v>160</v>
      </c>
      <c r="O35" s="30"/>
      <c r="P35" s="2"/>
      <c r="Q35" s="2"/>
      <c r="R35" s="4"/>
      <c r="S35" s="4"/>
    </row>
    <row r="36" spans="1:19" ht="27">
      <c r="A36" s="1">
        <v>89</v>
      </c>
      <c r="B36" s="1" t="s">
        <v>532</v>
      </c>
      <c r="C36" s="1" t="s">
        <v>551</v>
      </c>
      <c r="D36" s="1">
        <v>6</v>
      </c>
      <c r="E36" s="1" t="s">
        <v>1008</v>
      </c>
      <c r="F36" s="4" t="s">
        <v>525</v>
      </c>
      <c r="G36" s="2" t="s">
        <v>272</v>
      </c>
      <c r="H36" s="2"/>
      <c r="I36" s="30"/>
      <c r="J36" s="30"/>
      <c r="K36" s="30" t="s">
        <v>481</v>
      </c>
      <c r="L36" s="2"/>
      <c r="M36" s="2"/>
      <c r="N36" s="30" t="s">
        <v>160</v>
      </c>
      <c r="O36" s="30"/>
      <c r="P36" s="2"/>
      <c r="Q36" s="2"/>
      <c r="R36" s="4"/>
      <c r="S36" s="4"/>
    </row>
    <row r="37" spans="1:19" ht="54">
      <c r="A37" s="1">
        <v>90</v>
      </c>
      <c r="B37" s="1" t="s">
        <v>532</v>
      </c>
      <c r="C37" s="1" t="s">
        <v>551</v>
      </c>
      <c r="D37" s="1">
        <v>7</v>
      </c>
      <c r="E37" s="1" t="s">
        <v>1015</v>
      </c>
      <c r="F37" s="4" t="s">
        <v>525</v>
      </c>
      <c r="G37" s="2" t="s">
        <v>26</v>
      </c>
      <c r="H37" s="2" t="s">
        <v>296</v>
      </c>
      <c r="I37" s="30">
        <v>10</v>
      </c>
      <c r="J37" s="30">
        <v>1.24</v>
      </c>
      <c r="K37" s="30" t="s">
        <v>479</v>
      </c>
      <c r="L37" s="2"/>
      <c r="M37" s="2"/>
      <c r="N37" s="30" t="s">
        <v>160</v>
      </c>
      <c r="O37" s="30"/>
      <c r="P37" s="2"/>
      <c r="Q37" s="2"/>
      <c r="R37" s="4" t="s">
        <v>395</v>
      </c>
      <c r="S37" s="4"/>
    </row>
    <row r="38" spans="1:19" ht="27">
      <c r="A38" s="1">
        <v>91</v>
      </c>
      <c r="B38" s="1" t="s">
        <v>532</v>
      </c>
      <c r="C38" s="1" t="s">
        <v>551</v>
      </c>
      <c r="D38" s="1">
        <v>8</v>
      </c>
      <c r="E38" s="1" t="s">
        <v>1019</v>
      </c>
      <c r="F38" s="4" t="s">
        <v>525</v>
      </c>
      <c r="G38" s="40" t="s">
        <v>380</v>
      </c>
      <c r="H38" s="2"/>
      <c r="I38" s="30"/>
      <c r="J38" s="30"/>
      <c r="K38" s="30" t="s">
        <v>481</v>
      </c>
      <c r="L38" s="2"/>
      <c r="M38" s="2"/>
      <c r="N38" s="30" t="s">
        <v>160</v>
      </c>
      <c r="O38" s="30"/>
      <c r="P38" s="2"/>
      <c r="Q38" s="2" t="s">
        <v>409</v>
      </c>
      <c r="R38" s="4" t="s">
        <v>1080</v>
      </c>
      <c r="S38" s="4"/>
    </row>
    <row r="39" spans="1:19" ht="27">
      <c r="A39" s="1">
        <v>92</v>
      </c>
      <c r="B39" s="1" t="s">
        <v>532</v>
      </c>
      <c r="C39" s="1" t="s">
        <v>533</v>
      </c>
      <c r="D39" s="1">
        <v>1</v>
      </c>
      <c r="E39" s="1" t="s">
        <v>838</v>
      </c>
      <c r="F39" s="4" t="s">
        <v>677</v>
      </c>
      <c r="G39" s="2" t="s">
        <v>626</v>
      </c>
      <c r="H39" s="2" t="s">
        <v>56</v>
      </c>
      <c r="I39" s="30"/>
      <c r="J39" s="30"/>
      <c r="K39" s="30" t="s">
        <v>481</v>
      </c>
      <c r="L39" s="2"/>
      <c r="M39" s="2"/>
      <c r="N39" s="30" t="s">
        <v>160</v>
      </c>
      <c r="O39" s="30"/>
      <c r="P39" s="2"/>
      <c r="Q39" s="2"/>
      <c r="R39" s="4"/>
      <c r="S39" s="4"/>
    </row>
    <row r="40" spans="1:19" ht="54">
      <c r="A40" s="1">
        <v>93</v>
      </c>
      <c r="B40" s="1" t="s">
        <v>532</v>
      </c>
      <c r="C40" s="1" t="s">
        <v>533</v>
      </c>
      <c r="D40" s="1">
        <v>2</v>
      </c>
      <c r="E40" s="1" t="s">
        <v>840</v>
      </c>
      <c r="F40" s="4" t="s">
        <v>677</v>
      </c>
      <c r="G40" s="2" t="s">
        <v>626</v>
      </c>
      <c r="H40" s="2" t="s">
        <v>402</v>
      </c>
      <c r="I40" s="30">
        <v>10</v>
      </c>
      <c r="J40" s="30">
        <v>1.25</v>
      </c>
      <c r="K40" s="30" t="s">
        <v>479</v>
      </c>
      <c r="L40" s="2"/>
      <c r="M40" s="2"/>
      <c r="N40" s="30" t="s">
        <v>160</v>
      </c>
      <c r="O40" s="30"/>
      <c r="P40" s="2"/>
      <c r="Q40" s="2"/>
      <c r="R40" s="4"/>
      <c r="S40" s="4"/>
    </row>
    <row r="41" spans="1:19" ht="27">
      <c r="A41" s="1">
        <v>94</v>
      </c>
      <c r="B41" s="1" t="s">
        <v>532</v>
      </c>
      <c r="C41" s="1" t="s">
        <v>533</v>
      </c>
      <c r="D41" s="1">
        <v>3</v>
      </c>
      <c r="E41" s="1" t="s">
        <v>837</v>
      </c>
      <c r="F41" s="4" t="s">
        <v>677</v>
      </c>
      <c r="G41" s="2" t="s">
        <v>427</v>
      </c>
      <c r="H41" s="2" t="s">
        <v>205</v>
      </c>
      <c r="I41" s="30"/>
      <c r="J41" s="30"/>
      <c r="K41" s="30" t="s">
        <v>481</v>
      </c>
      <c r="L41" s="2"/>
      <c r="M41" s="2"/>
      <c r="N41" s="30" t="s">
        <v>160</v>
      </c>
      <c r="O41" s="30"/>
      <c r="P41" s="2"/>
      <c r="Q41" s="2" t="s">
        <v>406</v>
      </c>
      <c r="R41" s="4" t="s">
        <v>681</v>
      </c>
      <c r="S41" s="4"/>
    </row>
    <row r="42" spans="1:19" ht="54">
      <c r="A42" s="1">
        <v>95</v>
      </c>
      <c r="B42" s="1" t="s">
        <v>532</v>
      </c>
      <c r="C42" s="1" t="s">
        <v>533</v>
      </c>
      <c r="D42" s="1">
        <v>4</v>
      </c>
      <c r="E42" s="1" t="s">
        <v>825</v>
      </c>
      <c r="F42" s="4" t="s">
        <v>677</v>
      </c>
      <c r="G42" s="2" t="s">
        <v>427</v>
      </c>
      <c r="H42" s="2" t="s">
        <v>336</v>
      </c>
      <c r="I42" s="30"/>
      <c r="J42" s="30"/>
      <c r="K42" s="30" t="s">
        <v>481</v>
      </c>
      <c r="L42" s="2"/>
      <c r="M42" s="2"/>
      <c r="N42" s="30" t="s">
        <v>160</v>
      </c>
      <c r="O42" s="30"/>
      <c r="P42" s="2"/>
      <c r="Q42" s="2"/>
      <c r="R42" s="4"/>
      <c r="S42" s="4"/>
    </row>
    <row r="43" spans="1:19" ht="27">
      <c r="A43" s="1">
        <v>96</v>
      </c>
      <c r="B43" s="1" t="s">
        <v>532</v>
      </c>
      <c r="C43" s="1" t="s">
        <v>533</v>
      </c>
      <c r="D43" s="1">
        <v>5</v>
      </c>
      <c r="E43" s="1" t="s">
        <v>832</v>
      </c>
      <c r="F43" s="4" t="s">
        <v>677</v>
      </c>
      <c r="G43" s="2" t="s">
        <v>253</v>
      </c>
      <c r="H43" s="2" t="s">
        <v>412</v>
      </c>
      <c r="I43" s="30"/>
      <c r="J43" s="30"/>
      <c r="K43" s="30" t="s">
        <v>481</v>
      </c>
      <c r="L43" s="2"/>
      <c r="M43" s="2"/>
      <c r="N43" s="30" t="s">
        <v>160</v>
      </c>
      <c r="O43" s="30"/>
      <c r="P43" s="2"/>
      <c r="Q43" s="2"/>
      <c r="R43" s="4"/>
      <c r="S43" s="4"/>
    </row>
    <row r="44" spans="1:19" ht="54">
      <c r="A44" s="1">
        <v>97</v>
      </c>
      <c r="B44" s="1" t="s">
        <v>532</v>
      </c>
      <c r="C44" s="1" t="s">
        <v>533</v>
      </c>
      <c r="D44" s="1">
        <v>6</v>
      </c>
      <c r="E44" s="1" t="s">
        <v>836</v>
      </c>
      <c r="F44" s="4" t="s">
        <v>677</v>
      </c>
      <c r="G44" s="2" t="s">
        <v>1187</v>
      </c>
      <c r="H44" s="2" t="s">
        <v>342</v>
      </c>
      <c r="I44" s="30"/>
      <c r="J44" s="30"/>
      <c r="K44" s="30" t="s">
        <v>481</v>
      </c>
      <c r="L44" s="2"/>
      <c r="M44" s="2"/>
      <c r="N44" s="30" t="s">
        <v>160</v>
      </c>
      <c r="O44" s="30"/>
      <c r="P44" s="2"/>
      <c r="Q44" s="2"/>
      <c r="R44" s="4" t="s">
        <v>395</v>
      </c>
      <c r="S44" s="4"/>
    </row>
    <row r="45" spans="1:19" ht="27">
      <c r="A45" s="1">
        <v>98</v>
      </c>
      <c r="B45" s="1" t="s">
        <v>532</v>
      </c>
      <c r="C45" s="1" t="s">
        <v>533</v>
      </c>
      <c r="D45" s="1">
        <v>7</v>
      </c>
      <c r="E45" s="1" t="s">
        <v>845</v>
      </c>
      <c r="F45" s="4" t="s">
        <v>677</v>
      </c>
      <c r="G45" s="40" t="s">
        <v>380</v>
      </c>
      <c r="H45" s="2"/>
      <c r="I45" s="30"/>
      <c r="J45" s="30"/>
      <c r="K45" s="30" t="s">
        <v>481</v>
      </c>
      <c r="L45" s="2"/>
      <c r="M45" s="2"/>
      <c r="N45" s="30" t="s">
        <v>160</v>
      </c>
      <c r="O45" s="30"/>
      <c r="P45" s="2"/>
      <c r="Q45" s="2" t="s">
        <v>409</v>
      </c>
      <c r="R45" s="4" t="s">
        <v>1080</v>
      </c>
      <c r="S45" s="4"/>
    </row>
    <row r="46" spans="1:19" ht="94.5">
      <c r="A46" s="1">
        <v>99</v>
      </c>
      <c r="B46" s="1" t="s">
        <v>532</v>
      </c>
      <c r="C46" s="1" t="s">
        <v>534</v>
      </c>
      <c r="D46" s="1">
        <v>1</v>
      </c>
      <c r="E46" s="1" t="s">
        <v>847</v>
      </c>
      <c r="F46" s="4" t="s">
        <v>1047</v>
      </c>
      <c r="G46" s="2" t="s">
        <v>277</v>
      </c>
      <c r="H46" s="2" t="s">
        <v>570</v>
      </c>
      <c r="I46" s="30">
        <v>10</v>
      </c>
      <c r="J46" s="30">
        <v>1.26</v>
      </c>
      <c r="K46" s="30" t="s">
        <v>479</v>
      </c>
      <c r="L46" s="2"/>
      <c r="M46" s="2"/>
      <c r="N46" s="30" t="s">
        <v>160</v>
      </c>
      <c r="O46" s="30"/>
      <c r="P46" s="2"/>
      <c r="Q46" s="2" t="s">
        <v>345</v>
      </c>
      <c r="R46" s="4"/>
      <c r="S46" s="4"/>
    </row>
    <row r="47" spans="1:19" ht="27">
      <c r="A47" s="1">
        <v>100</v>
      </c>
      <c r="B47" s="1" t="s">
        <v>532</v>
      </c>
      <c r="C47" s="1" t="s">
        <v>534</v>
      </c>
      <c r="D47" s="1">
        <v>2</v>
      </c>
      <c r="E47" s="1" t="s">
        <v>851</v>
      </c>
      <c r="F47" s="4" t="s">
        <v>1047</v>
      </c>
      <c r="G47" s="2" t="s">
        <v>277</v>
      </c>
      <c r="H47" s="2" t="s">
        <v>366</v>
      </c>
      <c r="I47" s="30">
        <v>10</v>
      </c>
      <c r="J47" s="30">
        <v>1.27</v>
      </c>
      <c r="K47" s="30" t="s">
        <v>479</v>
      </c>
      <c r="L47" s="2"/>
      <c r="M47" s="2"/>
      <c r="N47" s="30" t="s">
        <v>160</v>
      </c>
      <c r="O47" s="30"/>
      <c r="P47" s="2"/>
      <c r="Q47" s="2"/>
      <c r="R47" s="4"/>
      <c r="S47" s="4"/>
    </row>
    <row r="48" spans="1:19" ht="27">
      <c r="A48" s="1">
        <v>101</v>
      </c>
      <c r="B48" s="1" t="s">
        <v>532</v>
      </c>
      <c r="C48" s="1" t="s">
        <v>534</v>
      </c>
      <c r="D48" s="1">
        <v>3</v>
      </c>
      <c r="E48" s="1" t="s">
        <v>833</v>
      </c>
      <c r="F48" s="4" t="s">
        <v>1047</v>
      </c>
      <c r="G48" s="2" t="s">
        <v>623</v>
      </c>
      <c r="H48" s="2" t="s">
        <v>639</v>
      </c>
      <c r="I48" s="30"/>
      <c r="J48" s="30"/>
      <c r="K48" s="30" t="s">
        <v>481</v>
      </c>
      <c r="L48" s="2"/>
      <c r="M48" s="2"/>
      <c r="N48" s="30" t="s">
        <v>160</v>
      </c>
      <c r="O48" s="30"/>
      <c r="P48" s="2"/>
      <c r="Q48" s="2" t="s">
        <v>686</v>
      </c>
      <c r="R48" s="4"/>
      <c r="S48" s="4" t="s">
        <v>453</v>
      </c>
    </row>
    <row r="49" spans="1:19" ht="54">
      <c r="A49" s="1">
        <v>102</v>
      </c>
      <c r="B49" s="1" t="s">
        <v>532</v>
      </c>
      <c r="C49" s="1" t="s">
        <v>534</v>
      </c>
      <c r="D49" s="1">
        <v>4</v>
      </c>
      <c r="E49" s="1" t="s">
        <v>844</v>
      </c>
      <c r="F49" s="4" t="s">
        <v>1047</v>
      </c>
      <c r="G49" s="2" t="s">
        <v>623</v>
      </c>
      <c r="H49" s="2" t="s">
        <v>401</v>
      </c>
      <c r="I49" s="30"/>
      <c r="J49" s="30"/>
      <c r="K49" s="30"/>
      <c r="L49" s="2"/>
      <c r="M49" s="2"/>
      <c r="N49" s="30" t="s">
        <v>160</v>
      </c>
      <c r="O49" s="30"/>
      <c r="P49" s="2"/>
      <c r="Q49" s="2"/>
      <c r="R49" s="4"/>
      <c r="S49" s="4"/>
    </row>
    <row r="50" spans="1:19" ht="27">
      <c r="A50" s="1">
        <v>103</v>
      </c>
      <c r="B50" s="1" t="s">
        <v>532</v>
      </c>
      <c r="C50" s="1" t="s">
        <v>534</v>
      </c>
      <c r="D50" s="1">
        <v>5</v>
      </c>
      <c r="E50" s="1" t="s">
        <v>835</v>
      </c>
      <c r="F50" s="4" t="s">
        <v>1047</v>
      </c>
      <c r="G50" s="2" t="s">
        <v>623</v>
      </c>
      <c r="H50" s="2" t="s">
        <v>238</v>
      </c>
      <c r="I50" s="30"/>
      <c r="J50" s="30"/>
      <c r="K50" s="30"/>
      <c r="L50" s="2"/>
      <c r="M50" s="2"/>
      <c r="N50" s="30" t="s">
        <v>160</v>
      </c>
      <c r="O50" s="30"/>
      <c r="P50" s="2"/>
      <c r="Q50" s="2"/>
      <c r="R50" s="4"/>
      <c r="S50" s="4"/>
    </row>
    <row r="51" spans="1:19" ht="40.5">
      <c r="A51" s="1">
        <v>104</v>
      </c>
      <c r="B51" s="1" t="s">
        <v>532</v>
      </c>
      <c r="C51" s="1" t="s">
        <v>534</v>
      </c>
      <c r="D51" s="1">
        <v>6</v>
      </c>
      <c r="E51" s="1" t="s">
        <v>841</v>
      </c>
      <c r="F51" s="4" t="s">
        <v>1047</v>
      </c>
      <c r="G51" s="2" t="s">
        <v>92</v>
      </c>
      <c r="H51" s="2"/>
      <c r="I51" s="30">
        <v>10</v>
      </c>
      <c r="J51" s="30">
        <v>1.28</v>
      </c>
      <c r="K51" s="30" t="s">
        <v>479</v>
      </c>
      <c r="L51" s="2"/>
      <c r="M51" s="2"/>
      <c r="N51" s="30" t="s">
        <v>160</v>
      </c>
      <c r="O51" s="30"/>
      <c r="P51" s="2"/>
      <c r="Q51" s="2" t="s">
        <v>121</v>
      </c>
      <c r="R51" s="4" t="s">
        <v>948</v>
      </c>
      <c r="S51" s="4"/>
    </row>
    <row r="52" spans="1:19" ht="27">
      <c r="A52" s="1">
        <v>105</v>
      </c>
      <c r="B52" s="1" t="s">
        <v>532</v>
      </c>
      <c r="C52" s="1" t="s">
        <v>534</v>
      </c>
      <c r="D52" s="1">
        <v>7</v>
      </c>
      <c r="E52" s="1" t="s">
        <v>839</v>
      </c>
      <c r="F52" s="4" t="s">
        <v>1047</v>
      </c>
      <c r="G52" s="40" t="s">
        <v>380</v>
      </c>
      <c r="H52" s="2"/>
      <c r="I52" s="30"/>
      <c r="J52" s="30"/>
      <c r="K52" s="30" t="s">
        <v>481</v>
      </c>
      <c r="L52" s="2"/>
      <c r="M52" s="2"/>
      <c r="N52" s="30" t="s">
        <v>160</v>
      </c>
      <c r="O52" s="30"/>
      <c r="P52" s="2"/>
      <c r="Q52" s="2" t="s">
        <v>409</v>
      </c>
      <c r="R52" s="4" t="s">
        <v>1080</v>
      </c>
      <c r="S52" s="4"/>
    </row>
    <row r="53" spans="1:19" ht="162">
      <c r="A53" s="1">
        <v>106</v>
      </c>
      <c r="B53" s="1" t="s">
        <v>532</v>
      </c>
      <c r="C53" s="1" t="s">
        <v>552</v>
      </c>
      <c r="D53" s="1">
        <v>1</v>
      </c>
      <c r="E53" s="1" t="s">
        <v>817</v>
      </c>
      <c r="F53" s="4" t="s">
        <v>1050</v>
      </c>
      <c r="G53" s="2" t="s">
        <v>50</v>
      </c>
      <c r="H53" s="2" t="s">
        <v>651</v>
      </c>
      <c r="I53" s="30">
        <v>10</v>
      </c>
      <c r="J53" s="30">
        <v>1.29</v>
      </c>
      <c r="K53" s="30" t="s">
        <v>479</v>
      </c>
      <c r="L53" s="2"/>
      <c r="M53" s="2"/>
      <c r="N53" s="30" t="s">
        <v>160</v>
      </c>
      <c r="O53" s="30"/>
      <c r="P53" s="2"/>
      <c r="Q53" s="2" t="s">
        <v>98</v>
      </c>
      <c r="R53" s="5" t="s">
        <v>1072</v>
      </c>
      <c r="S53" s="4"/>
    </row>
    <row r="54" spans="1:19" ht="54">
      <c r="A54" s="1">
        <v>107</v>
      </c>
      <c r="B54" s="1" t="s">
        <v>532</v>
      </c>
      <c r="C54" s="1" t="s">
        <v>552</v>
      </c>
      <c r="D54" s="1">
        <v>2</v>
      </c>
      <c r="E54" s="1" t="s">
        <v>834</v>
      </c>
      <c r="F54" s="4" t="s">
        <v>1050</v>
      </c>
      <c r="G54" s="2" t="s">
        <v>50</v>
      </c>
      <c r="H54" s="2" t="s">
        <v>38</v>
      </c>
      <c r="I54" s="30"/>
      <c r="J54" s="30"/>
      <c r="K54" s="30" t="s">
        <v>481</v>
      </c>
      <c r="L54" s="2"/>
      <c r="M54" s="2"/>
      <c r="N54" s="30" t="s">
        <v>160</v>
      </c>
      <c r="O54" s="30"/>
      <c r="P54" s="2"/>
      <c r="Q54" s="2"/>
      <c r="R54" s="5"/>
      <c r="S54" s="4"/>
    </row>
    <row r="55" spans="1:19">
      <c r="A55" s="1">
        <v>108</v>
      </c>
      <c r="B55" s="1" t="s">
        <v>532</v>
      </c>
      <c r="C55" s="1" t="s">
        <v>552</v>
      </c>
      <c r="D55" s="1">
        <v>3</v>
      </c>
      <c r="E55" s="1" t="s">
        <v>855</v>
      </c>
      <c r="F55" s="4" t="s">
        <v>1050</v>
      </c>
      <c r="G55" s="2" t="s">
        <v>50</v>
      </c>
      <c r="H55" s="2" t="s">
        <v>48</v>
      </c>
      <c r="I55" s="30"/>
      <c r="J55" s="30"/>
      <c r="K55" s="30" t="s">
        <v>481</v>
      </c>
      <c r="L55" s="2"/>
      <c r="M55" s="2"/>
      <c r="N55" s="30" t="s">
        <v>160</v>
      </c>
      <c r="O55" s="30"/>
      <c r="P55" s="2"/>
      <c r="Q55" s="2"/>
      <c r="R55" s="5"/>
      <c r="S55" s="4"/>
    </row>
    <row r="56" spans="1:19" ht="27">
      <c r="A56" s="1">
        <v>109</v>
      </c>
      <c r="B56" s="1" t="s">
        <v>532</v>
      </c>
      <c r="C56" s="1" t="s">
        <v>552</v>
      </c>
      <c r="D56" s="1">
        <v>4</v>
      </c>
      <c r="E56" s="1" t="s">
        <v>857</v>
      </c>
      <c r="F56" s="4" t="s">
        <v>1050</v>
      </c>
      <c r="G56" s="2" t="s">
        <v>275</v>
      </c>
      <c r="H56" s="2"/>
      <c r="I56" s="30">
        <v>10</v>
      </c>
      <c r="J56" s="32" t="s">
        <v>499</v>
      </c>
      <c r="K56" s="30" t="s">
        <v>479</v>
      </c>
      <c r="L56" s="2"/>
      <c r="M56" s="2"/>
      <c r="N56" s="30" t="s">
        <v>160</v>
      </c>
      <c r="O56" s="30"/>
      <c r="P56" s="2"/>
      <c r="Q56" s="2" t="s">
        <v>407</v>
      </c>
      <c r="R56" s="4"/>
      <c r="S56" s="4"/>
    </row>
    <row r="57" spans="1:19" ht="27">
      <c r="A57" s="1">
        <v>110</v>
      </c>
      <c r="B57" s="1" t="s">
        <v>532</v>
      </c>
      <c r="C57" s="1" t="s">
        <v>552</v>
      </c>
      <c r="D57" s="1">
        <v>5</v>
      </c>
      <c r="E57" s="1" t="s">
        <v>850</v>
      </c>
      <c r="F57" s="4" t="s">
        <v>1050</v>
      </c>
      <c r="G57" s="2" t="s">
        <v>426</v>
      </c>
      <c r="H57" s="2" t="s">
        <v>638</v>
      </c>
      <c r="I57" s="30"/>
      <c r="J57" s="30"/>
      <c r="K57" s="30" t="s">
        <v>481</v>
      </c>
      <c r="L57" s="2"/>
      <c r="M57" s="2"/>
      <c r="N57" s="30" t="s">
        <v>160</v>
      </c>
      <c r="O57" s="30"/>
      <c r="P57" s="2"/>
      <c r="Q57" s="2"/>
      <c r="R57" s="4"/>
      <c r="S57" s="4"/>
    </row>
    <row r="58" spans="1:19" ht="27">
      <c r="A58" s="1">
        <v>111</v>
      </c>
      <c r="B58" s="1" t="s">
        <v>532</v>
      </c>
      <c r="C58" s="1" t="s">
        <v>552</v>
      </c>
      <c r="D58" s="1">
        <v>6</v>
      </c>
      <c r="E58" s="1" t="s">
        <v>859</v>
      </c>
      <c r="F58" s="4" t="s">
        <v>1050</v>
      </c>
      <c r="G58" s="2" t="s">
        <v>171</v>
      </c>
      <c r="H58" s="2" t="s">
        <v>398</v>
      </c>
      <c r="I58" s="30">
        <v>10</v>
      </c>
      <c r="J58" s="30">
        <v>1.31</v>
      </c>
      <c r="K58" s="30" t="s">
        <v>479</v>
      </c>
      <c r="L58" s="2"/>
      <c r="M58" s="2"/>
      <c r="N58" s="30" t="s">
        <v>160</v>
      </c>
      <c r="O58" s="30"/>
      <c r="P58" s="2"/>
      <c r="Q58" s="2"/>
      <c r="R58" s="4"/>
      <c r="S58" s="4"/>
    </row>
    <row r="59" spans="1:19" ht="27">
      <c r="A59" s="1">
        <v>112</v>
      </c>
      <c r="B59" s="1" t="s">
        <v>532</v>
      </c>
      <c r="C59" s="1" t="s">
        <v>552</v>
      </c>
      <c r="D59" s="1">
        <v>7</v>
      </c>
      <c r="E59" s="1" t="s">
        <v>848</v>
      </c>
      <c r="F59" s="4" t="s">
        <v>1050</v>
      </c>
      <c r="G59" s="2" t="s">
        <v>278</v>
      </c>
      <c r="H59" s="2" t="s">
        <v>252</v>
      </c>
      <c r="I59" s="30"/>
      <c r="J59" s="30"/>
      <c r="K59" s="30" t="s">
        <v>481</v>
      </c>
      <c r="L59" s="2"/>
      <c r="M59" s="2"/>
      <c r="N59" s="30" t="s">
        <v>160</v>
      </c>
      <c r="O59" s="30"/>
      <c r="P59" s="2"/>
      <c r="Q59" s="2" t="s">
        <v>756</v>
      </c>
      <c r="R59" s="4" t="s">
        <v>1079</v>
      </c>
      <c r="S59" s="4"/>
    </row>
    <row r="60" spans="1:19" ht="54">
      <c r="A60" s="1">
        <v>113</v>
      </c>
      <c r="B60" s="1" t="s">
        <v>532</v>
      </c>
      <c r="C60" s="1" t="s">
        <v>552</v>
      </c>
      <c r="D60" s="1">
        <v>8</v>
      </c>
      <c r="E60" s="1" t="s">
        <v>846</v>
      </c>
      <c r="F60" s="4" t="s">
        <v>1050</v>
      </c>
      <c r="G60" s="2" t="s">
        <v>274</v>
      </c>
      <c r="H60" s="2"/>
      <c r="I60" s="30"/>
      <c r="J60" s="30"/>
      <c r="K60" s="30" t="s">
        <v>481</v>
      </c>
      <c r="L60" s="2"/>
      <c r="M60" s="2"/>
      <c r="N60" s="30" t="s">
        <v>160</v>
      </c>
      <c r="O60" s="30"/>
      <c r="P60" s="2"/>
      <c r="Q60" s="2"/>
      <c r="R60" s="4" t="s">
        <v>367</v>
      </c>
      <c r="S60" s="4"/>
    </row>
    <row r="61" spans="1:19" ht="54">
      <c r="A61" s="1">
        <v>114</v>
      </c>
      <c r="B61" s="1" t="s">
        <v>532</v>
      </c>
      <c r="C61" s="1" t="s">
        <v>552</v>
      </c>
      <c r="D61" s="1">
        <v>9</v>
      </c>
      <c r="E61" s="1" t="s">
        <v>862</v>
      </c>
      <c r="F61" s="4" t="s">
        <v>1050</v>
      </c>
      <c r="G61" s="2" t="s">
        <v>377</v>
      </c>
      <c r="H61" s="2" t="s">
        <v>342</v>
      </c>
      <c r="I61" s="30">
        <v>10</v>
      </c>
      <c r="J61" s="30">
        <v>1.32</v>
      </c>
      <c r="K61" s="30"/>
      <c r="L61" s="2"/>
      <c r="M61" s="2"/>
      <c r="N61" s="30" t="s">
        <v>160</v>
      </c>
      <c r="O61" s="30"/>
      <c r="P61" s="2"/>
      <c r="Q61" s="2"/>
      <c r="R61" s="4" t="s">
        <v>395</v>
      </c>
      <c r="S61" s="4"/>
    </row>
    <row r="62" spans="1:19" ht="27">
      <c r="A62" s="1">
        <v>115</v>
      </c>
      <c r="B62" s="1" t="s">
        <v>532</v>
      </c>
      <c r="C62" s="1" t="s">
        <v>552</v>
      </c>
      <c r="D62" s="1">
        <v>10</v>
      </c>
      <c r="E62" s="1" t="s">
        <v>860</v>
      </c>
      <c r="F62" s="4" t="s">
        <v>1050</v>
      </c>
      <c r="G62" s="40" t="s">
        <v>380</v>
      </c>
      <c r="H62" s="2"/>
      <c r="I62" s="30"/>
      <c r="J62" s="30"/>
      <c r="K62" s="30" t="s">
        <v>481</v>
      </c>
      <c r="L62" s="2"/>
      <c r="M62" s="2"/>
      <c r="N62" s="30" t="s">
        <v>160</v>
      </c>
      <c r="O62" s="30"/>
      <c r="P62" s="2"/>
      <c r="Q62" s="2" t="s">
        <v>409</v>
      </c>
      <c r="R62" s="4" t="s">
        <v>1080</v>
      </c>
      <c r="S62" s="4"/>
    </row>
    <row r="63" spans="1:19" ht="67.5">
      <c r="A63" s="1">
        <v>116</v>
      </c>
      <c r="B63" s="1" t="s">
        <v>532</v>
      </c>
      <c r="C63" s="1" t="s">
        <v>541</v>
      </c>
      <c r="D63" s="1">
        <v>1</v>
      </c>
      <c r="E63" s="1" t="s">
        <v>863</v>
      </c>
      <c r="F63" s="4" t="s">
        <v>543</v>
      </c>
      <c r="G63" s="2" t="s">
        <v>237</v>
      </c>
      <c r="H63" s="2" t="s">
        <v>18</v>
      </c>
      <c r="I63" s="30"/>
      <c r="J63" s="30"/>
      <c r="K63" s="30" t="s">
        <v>481</v>
      </c>
      <c r="L63" s="2"/>
      <c r="M63" s="2"/>
      <c r="N63" s="30" t="s">
        <v>160</v>
      </c>
      <c r="O63" s="30"/>
      <c r="P63" s="2"/>
      <c r="Q63" s="2" t="s">
        <v>102</v>
      </c>
      <c r="R63" s="4"/>
      <c r="S63" s="4"/>
    </row>
    <row r="64" spans="1:19" ht="27">
      <c r="A64" s="1">
        <v>117</v>
      </c>
      <c r="B64" s="1" t="s">
        <v>532</v>
      </c>
      <c r="C64" s="1" t="s">
        <v>541</v>
      </c>
      <c r="D64" s="1">
        <v>2</v>
      </c>
      <c r="E64" s="1" t="s">
        <v>864</v>
      </c>
      <c r="F64" s="4" t="s">
        <v>543</v>
      </c>
      <c r="G64" s="2" t="s">
        <v>301</v>
      </c>
      <c r="H64" s="2" t="s">
        <v>248</v>
      </c>
      <c r="I64" s="30"/>
      <c r="J64" s="30"/>
      <c r="K64" s="30" t="s">
        <v>481</v>
      </c>
      <c r="L64" s="2"/>
      <c r="M64" s="2"/>
      <c r="N64" s="30" t="s">
        <v>160</v>
      </c>
      <c r="O64" s="30"/>
      <c r="P64" s="2"/>
      <c r="Q64" s="2" t="s">
        <v>593</v>
      </c>
      <c r="R64" s="4"/>
      <c r="S64" s="4"/>
    </row>
    <row r="65" spans="1:20" ht="27">
      <c r="A65" s="1">
        <v>118</v>
      </c>
      <c r="B65" s="1" t="s">
        <v>532</v>
      </c>
      <c r="C65" s="1" t="s">
        <v>541</v>
      </c>
      <c r="D65" s="1">
        <v>3</v>
      </c>
      <c r="E65" s="1" t="s">
        <v>873</v>
      </c>
      <c r="F65" s="4" t="s">
        <v>543</v>
      </c>
      <c r="G65" s="2" t="s">
        <v>297</v>
      </c>
      <c r="H65" s="2"/>
      <c r="I65" s="30"/>
      <c r="J65" s="30"/>
      <c r="K65" s="30" t="s">
        <v>481</v>
      </c>
      <c r="L65" s="2"/>
      <c r="M65" s="2"/>
      <c r="N65" s="30" t="s">
        <v>160</v>
      </c>
      <c r="O65" s="30"/>
      <c r="P65" s="2"/>
      <c r="Q65" s="2" t="s">
        <v>592</v>
      </c>
      <c r="R65" s="4"/>
      <c r="S65" s="4"/>
    </row>
    <row r="66" spans="1:20" ht="27">
      <c r="A66" s="1">
        <v>119</v>
      </c>
      <c r="B66" s="1" t="s">
        <v>532</v>
      </c>
      <c r="C66" s="1" t="s">
        <v>541</v>
      </c>
      <c r="D66" s="1">
        <v>4</v>
      </c>
      <c r="E66" s="1" t="s">
        <v>843</v>
      </c>
      <c r="F66" s="4" t="s">
        <v>543</v>
      </c>
      <c r="G66" s="2" t="s">
        <v>233</v>
      </c>
      <c r="H66" s="2" t="s">
        <v>215</v>
      </c>
      <c r="I66" s="30"/>
      <c r="J66" s="30"/>
      <c r="K66" s="30" t="s">
        <v>481</v>
      </c>
      <c r="L66" s="2"/>
      <c r="M66" s="2"/>
      <c r="N66" s="30" t="s">
        <v>160</v>
      </c>
      <c r="O66" s="30"/>
      <c r="P66" s="2"/>
      <c r="Q66" s="2" t="s">
        <v>702</v>
      </c>
      <c r="R66" s="4" t="s">
        <v>1079</v>
      </c>
      <c r="S66" s="4"/>
    </row>
    <row r="67" spans="1:20" ht="27">
      <c r="A67" s="1">
        <v>120</v>
      </c>
      <c r="B67" s="1" t="s">
        <v>532</v>
      </c>
      <c r="C67" s="1" t="s">
        <v>541</v>
      </c>
      <c r="D67" s="1">
        <v>5</v>
      </c>
      <c r="E67" s="1" t="s">
        <v>858</v>
      </c>
      <c r="F67" s="4"/>
      <c r="G67" s="2"/>
      <c r="H67" s="2" t="s">
        <v>396</v>
      </c>
      <c r="I67" s="30">
        <v>10</v>
      </c>
      <c r="J67" s="30">
        <v>1.33</v>
      </c>
      <c r="K67" s="30"/>
      <c r="L67" s="2"/>
      <c r="M67" s="2"/>
      <c r="N67" s="30" t="s">
        <v>160</v>
      </c>
      <c r="O67" s="30"/>
      <c r="P67" s="2"/>
      <c r="Q67" s="2"/>
      <c r="R67" s="4"/>
      <c r="S67" s="4"/>
    </row>
    <row r="68" spans="1:20" ht="54">
      <c r="A68" s="1">
        <v>121</v>
      </c>
      <c r="B68" s="1" t="s">
        <v>532</v>
      </c>
      <c r="C68" s="1" t="s">
        <v>541</v>
      </c>
      <c r="D68" s="1">
        <v>6</v>
      </c>
      <c r="E68" s="1" t="s">
        <v>861</v>
      </c>
      <c r="F68" s="4" t="s">
        <v>543</v>
      </c>
      <c r="G68" s="2" t="s">
        <v>25</v>
      </c>
      <c r="H68" s="2" t="s">
        <v>342</v>
      </c>
      <c r="I68" s="30">
        <v>10</v>
      </c>
      <c r="J68" s="30">
        <v>1.34</v>
      </c>
      <c r="K68" s="30"/>
      <c r="L68" s="2"/>
      <c r="M68" s="2"/>
      <c r="N68" s="30" t="s">
        <v>160</v>
      </c>
      <c r="O68" s="30"/>
      <c r="P68" s="2"/>
      <c r="Q68" s="2"/>
      <c r="R68" s="4" t="s">
        <v>395</v>
      </c>
      <c r="S68" s="4"/>
    </row>
    <row r="69" spans="1:20" ht="27">
      <c r="A69" s="1">
        <v>122</v>
      </c>
      <c r="B69" s="1" t="s">
        <v>532</v>
      </c>
      <c r="C69" s="1" t="s">
        <v>541</v>
      </c>
      <c r="D69" s="1">
        <v>7</v>
      </c>
      <c r="E69" s="1" t="s">
        <v>856</v>
      </c>
      <c r="F69" s="4" t="s">
        <v>543</v>
      </c>
      <c r="G69" s="40" t="s">
        <v>380</v>
      </c>
      <c r="H69" s="2"/>
      <c r="I69" s="30"/>
      <c r="J69" s="30"/>
      <c r="K69" s="30" t="s">
        <v>481</v>
      </c>
      <c r="L69" s="2"/>
      <c r="M69" s="2"/>
      <c r="N69" s="30" t="s">
        <v>160</v>
      </c>
      <c r="O69" s="30"/>
      <c r="P69" s="2"/>
      <c r="Q69" s="2" t="s">
        <v>409</v>
      </c>
      <c r="R69" s="4" t="s">
        <v>1080</v>
      </c>
      <c r="S69" s="4"/>
    </row>
    <row r="70" spans="1:20" ht="27">
      <c r="A70" s="1">
        <v>123</v>
      </c>
      <c r="B70" s="1" t="s">
        <v>532</v>
      </c>
      <c r="C70" s="1" t="s">
        <v>531</v>
      </c>
      <c r="D70" s="1">
        <v>1</v>
      </c>
      <c r="E70" s="1" t="s">
        <v>849</v>
      </c>
      <c r="F70" s="4" t="s">
        <v>685</v>
      </c>
      <c r="G70" s="2" t="s">
        <v>747</v>
      </c>
      <c r="H70" s="2" t="s">
        <v>643</v>
      </c>
      <c r="I70" s="30"/>
      <c r="J70" s="30"/>
      <c r="K70" s="30" t="s">
        <v>481</v>
      </c>
      <c r="L70" s="2"/>
      <c r="M70" s="2"/>
      <c r="N70" s="30" t="s">
        <v>160</v>
      </c>
      <c r="O70" s="30"/>
      <c r="P70" s="2"/>
      <c r="Q70" s="2" t="s">
        <v>725</v>
      </c>
      <c r="R70" s="4"/>
      <c r="S70" s="4"/>
    </row>
    <row r="71" spans="1:20" ht="27">
      <c r="A71" s="1">
        <v>124</v>
      </c>
      <c r="B71" s="1" t="s">
        <v>532</v>
      </c>
      <c r="C71" s="1" t="s">
        <v>531</v>
      </c>
      <c r="D71" s="1">
        <v>2</v>
      </c>
      <c r="E71" s="1" t="s">
        <v>867</v>
      </c>
      <c r="F71" s="4" t="s">
        <v>685</v>
      </c>
      <c r="G71" s="2" t="s">
        <v>162</v>
      </c>
      <c r="H71" s="2"/>
      <c r="I71" s="30"/>
      <c r="J71" s="30"/>
      <c r="K71" s="30" t="s">
        <v>481</v>
      </c>
      <c r="L71" s="2"/>
      <c r="M71" s="2"/>
      <c r="N71" s="30" t="s">
        <v>160</v>
      </c>
      <c r="O71" s="30"/>
      <c r="P71" s="2"/>
      <c r="Q71" s="2" t="s">
        <v>62</v>
      </c>
      <c r="R71" s="4"/>
      <c r="S71" s="4"/>
    </row>
    <row r="72" spans="1:20" ht="40.5">
      <c r="A72" s="1">
        <v>125</v>
      </c>
      <c r="B72" s="1" t="s">
        <v>532</v>
      </c>
      <c r="C72" s="1" t="s">
        <v>531</v>
      </c>
      <c r="D72" s="1">
        <v>3</v>
      </c>
      <c r="E72" s="1" t="s">
        <v>869</v>
      </c>
      <c r="F72" s="4" t="s">
        <v>685</v>
      </c>
      <c r="G72" s="2" t="s">
        <v>55</v>
      </c>
      <c r="H72" s="2" t="s">
        <v>1184</v>
      </c>
      <c r="I72" s="30">
        <v>10</v>
      </c>
      <c r="J72" s="30">
        <v>1.35</v>
      </c>
      <c r="K72" s="30"/>
      <c r="L72" s="2"/>
      <c r="M72" s="2"/>
      <c r="N72" s="30" t="s">
        <v>160</v>
      </c>
      <c r="O72" s="30"/>
      <c r="P72" s="2"/>
      <c r="Q72" s="2" t="s">
        <v>602</v>
      </c>
      <c r="R72" s="4"/>
      <c r="S72" s="4"/>
    </row>
    <row r="73" spans="1:20" ht="27">
      <c r="A73" s="1">
        <v>126</v>
      </c>
      <c r="B73" s="1" t="s">
        <v>532</v>
      </c>
      <c r="C73" s="1" t="s">
        <v>531</v>
      </c>
      <c r="D73" s="1">
        <v>4</v>
      </c>
      <c r="E73" s="1" t="s">
        <v>852</v>
      </c>
      <c r="F73" s="4" t="s">
        <v>685</v>
      </c>
      <c r="G73" s="40" t="s">
        <v>380</v>
      </c>
      <c r="H73" s="2"/>
      <c r="I73" s="30"/>
      <c r="J73" s="30"/>
      <c r="K73" s="30" t="s">
        <v>481</v>
      </c>
      <c r="L73" s="2"/>
      <c r="M73" s="2"/>
      <c r="N73" s="30" t="s">
        <v>160</v>
      </c>
      <c r="O73" s="30"/>
      <c r="P73" s="2"/>
      <c r="Q73" s="2" t="s">
        <v>409</v>
      </c>
      <c r="R73" s="4" t="s">
        <v>1080</v>
      </c>
      <c r="S73" s="4"/>
    </row>
    <row r="74" spans="1:20" ht="54">
      <c r="A74" s="1">
        <v>187</v>
      </c>
      <c r="B74" s="1" t="s">
        <v>447</v>
      </c>
      <c r="C74" s="1" t="s">
        <v>549</v>
      </c>
      <c r="D74" s="1">
        <f t="shared" ref="D74:D76" si="1">IF(C73=C74,D73+1,1)</f>
        <v>1</v>
      </c>
      <c r="E74" s="1" t="s">
        <v>929</v>
      </c>
      <c r="F74" s="4" t="s">
        <v>569</v>
      </c>
      <c r="G74" s="2" t="s">
        <v>421</v>
      </c>
      <c r="H74" s="40" t="s">
        <v>105</v>
      </c>
      <c r="I74" s="30"/>
      <c r="J74" s="30"/>
      <c r="K74" s="30" t="s">
        <v>481</v>
      </c>
      <c r="L74" s="2"/>
      <c r="M74" s="2"/>
      <c r="N74" s="2"/>
      <c r="O74" s="30" t="s">
        <v>160</v>
      </c>
      <c r="P74" s="30"/>
      <c r="Q74" s="2"/>
      <c r="R74" s="2" t="s">
        <v>405</v>
      </c>
      <c r="S74" s="4"/>
      <c r="T74" s="4"/>
    </row>
    <row r="75" spans="1:20" ht="67.5">
      <c r="A75" s="1">
        <v>189</v>
      </c>
      <c r="B75" s="1" t="s">
        <v>447</v>
      </c>
      <c r="C75" s="1" t="s">
        <v>549</v>
      </c>
      <c r="D75" s="1">
        <f t="shared" si="1"/>
        <v>2</v>
      </c>
      <c r="E75" s="1" t="s">
        <v>927</v>
      </c>
      <c r="F75" s="4" t="s">
        <v>569</v>
      </c>
      <c r="G75" s="2" t="s">
        <v>421</v>
      </c>
      <c r="H75" s="40" t="s">
        <v>311</v>
      </c>
      <c r="I75" s="30">
        <v>10</v>
      </c>
      <c r="J75" s="30">
        <v>1.49</v>
      </c>
      <c r="K75" s="30" t="s">
        <v>479</v>
      </c>
      <c r="L75" s="2"/>
      <c r="M75" s="2"/>
      <c r="N75" s="2"/>
      <c r="O75" s="30" t="s">
        <v>160</v>
      </c>
      <c r="P75" s="30"/>
      <c r="Q75" s="2"/>
      <c r="R75" s="2"/>
      <c r="S75" s="4"/>
      <c r="T75" s="4"/>
    </row>
    <row r="76" spans="1:20" ht="40.5">
      <c r="A76" s="1">
        <v>190</v>
      </c>
      <c r="B76" s="1" t="s">
        <v>447</v>
      </c>
      <c r="C76" s="1" t="s">
        <v>549</v>
      </c>
      <c r="D76" s="1">
        <f t="shared" si="1"/>
        <v>3</v>
      </c>
      <c r="E76" s="1" t="s">
        <v>945</v>
      </c>
      <c r="F76" s="4" t="s">
        <v>569</v>
      </c>
      <c r="G76" s="2" t="s">
        <v>431</v>
      </c>
      <c r="H76" s="40" t="s">
        <v>645</v>
      </c>
      <c r="I76" s="30">
        <v>10</v>
      </c>
      <c r="J76" s="32" t="s">
        <v>470</v>
      </c>
      <c r="K76" s="30"/>
      <c r="L76" s="2"/>
      <c r="M76" s="2"/>
      <c r="N76" s="2"/>
      <c r="O76" s="30" t="s">
        <v>160</v>
      </c>
      <c r="P76" s="30"/>
      <c r="Q76" s="2"/>
      <c r="R76" s="2" t="s">
        <v>65</v>
      </c>
      <c r="S76" s="4"/>
      <c r="T76" s="4"/>
    </row>
  </sheetData>
  <autoFilter ref="A1:S76"/>
  <customSheetViews>
    <customSheetView guid="{2940EC69-0E40-4162-8549-ED35AA338A49}" scale="85" showGridLines="0" showAutoFilter="1" hiddenColumns="1" state="hidden">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r:id="rId1"/>
      <autoFilter ref="A1:S76"/>
    </customSheetView>
    <customSheetView guid="{795AB5AE-C53F-4700-AA4F-485409291E6B}" scale="85" showGridLines="0" showAutoFilter="1" hiddenColumns="1" state="hidden">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r:id="rId2"/>
      <autoFilter ref="A1:S76"/>
    </customSheetView>
    <customSheetView guid="{C0B3E00A-6A64-4A32-8796-BF55C9AAD4EA}" scale="85" showGridLines="0" showAutoFilter="1" hiddenColumns="1" state="hidden">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r:id="rId3"/>
      <autoFilter ref="A1:S73"/>
    </customSheetView>
    <customSheetView guid="{EB4CA770-1436-4E3D-889F-30E34BABACCC}" scale="85" showGridLines="0" showAutoFilter="1" hiddenColumns="1" state="hidden">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r:id="rId4"/>
      <autoFilter ref="A1:S76"/>
    </customSheetView>
    <customSheetView guid="{2A8CFD2D-F9CC-4306-8A26-A82C68617360}" scale="85" showGridLines="0" showAutoFilter="1" hiddenColumns="1" state="hidden">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r:id="rId5"/>
      <autoFilter ref="A1:S76"/>
    </customSheetView>
    <customSheetView guid="{70346E6A-FAEE-4C37-A89C-D6DC7354E054}" scale="85" showGridLines="0" showAutoFilter="1" hiddenColumns="1" state="hidden">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r:id="rId6"/>
      <autoFilter ref="A1:S76"/>
    </customSheetView>
  </customSheetViews>
  <phoneticPr fontId="13" type="noConversion"/>
  <dataValidations count="1">
    <dataValidation type="list" allowBlank="1" showInputMessage="1" showErrorMessage="1" sqref="K2:K76">
      <formula1>"결정완료,해당없음"</formula1>
    </dataValidation>
  </dataValidations>
  <hyperlinks>
    <hyperlink ref="R53" r:id="rId7"/>
  </hyperlinks>
  <pageMargins left="0.69972223043441772" right="0.69972223043441772" top="0.75" bottom="0.75" header="0.30000001192092896" footer="0.30000001192092896"/>
  <pageSetup paperSize="9" orientation="portrait" verticalDpi="0"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17"/>
  <sheetViews>
    <sheetView zoomScaleNormal="100" zoomScaleSheetLayoutView="75" workbookViewId="0">
      <selection activeCell="E6" sqref="E6"/>
    </sheetView>
  </sheetViews>
  <sheetFormatPr defaultColWidth="9" defaultRowHeight="16.5"/>
  <cols>
    <col min="2" max="2" width="30.375" bestFit="1" customWidth="1"/>
    <col min="3" max="3" width="13.875" customWidth="1"/>
    <col min="4" max="4" width="12.5" customWidth="1"/>
    <col min="5" max="5" width="13.125" customWidth="1"/>
  </cols>
  <sheetData>
    <row r="1" spans="1:5" ht="38.25" customHeight="1">
      <c r="A1" s="43" t="s">
        <v>1092</v>
      </c>
    </row>
    <row r="2" spans="1:5">
      <c r="A2" s="90" t="s">
        <v>141</v>
      </c>
      <c r="B2" s="90" t="s">
        <v>157</v>
      </c>
      <c r="C2" s="90" t="s">
        <v>502</v>
      </c>
      <c r="D2" s="90"/>
      <c r="E2" s="90" t="s">
        <v>484</v>
      </c>
    </row>
    <row r="3" spans="1:5">
      <c r="A3" s="90"/>
      <c r="B3" s="90"/>
      <c r="C3" s="42" t="s">
        <v>154</v>
      </c>
      <c r="D3" s="42" t="s">
        <v>493</v>
      </c>
      <c r="E3" s="90"/>
    </row>
    <row r="4" spans="1:5">
      <c r="A4" s="3">
        <v>1</v>
      </c>
      <c r="B4" s="3" t="s">
        <v>1097</v>
      </c>
      <c r="C4" s="3"/>
      <c r="D4" s="3"/>
      <c r="E4" s="3"/>
    </row>
    <row r="5" spans="1:5">
      <c r="A5" s="3">
        <v>2</v>
      </c>
      <c r="B5" s="3" t="s">
        <v>515</v>
      </c>
      <c r="C5" s="3"/>
      <c r="D5" s="3"/>
      <c r="E5" s="3"/>
    </row>
    <row r="6" spans="1:5">
      <c r="A6" s="3">
        <v>3</v>
      </c>
      <c r="B6" s="3" t="s">
        <v>490</v>
      </c>
      <c r="C6" s="3"/>
      <c r="D6" s="3"/>
      <c r="E6" s="3"/>
    </row>
    <row r="7" spans="1:5">
      <c r="A7" s="3">
        <v>4</v>
      </c>
      <c r="B7" s="3" t="s">
        <v>500</v>
      </c>
      <c r="C7" s="3"/>
      <c r="D7" s="3"/>
      <c r="E7" s="3"/>
    </row>
    <row r="8" spans="1:5">
      <c r="A8" s="3">
        <v>5</v>
      </c>
      <c r="B8" s="3" t="s">
        <v>124</v>
      </c>
      <c r="C8" s="3"/>
      <c r="D8" s="3"/>
      <c r="E8" s="3"/>
    </row>
    <row r="9" spans="1:5">
      <c r="A9" s="3">
        <v>6</v>
      </c>
      <c r="B9" s="3" t="s">
        <v>125</v>
      </c>
      <c r="C9" s="3"/>
      <c r="D9" s="3"/>
      <c r="E9" s="3"/>
    </row>
    <row r="10" spans="1:5">
      <c r="A10" s="3">
        <v>7</v>
      </c>
      <c r="B10" s="3" t="s">
        <v>504</v>
      </c>
      <c r="C10" s="3"/>
      <c r="D10" s="3"/>
      <c r="E10" s="3"/>
    </row>
    <row r="11" spans="1:5">
      <c r="A11" s="3">
        <v>8</v>
      </c>
      <c r="B11" s="3" t="s">
        <v>1098</v>
      </c>
      <c r="C11" s="3"/>
      <c r="D11" s="3"/>
      <c r="E11" s="3"/>
    </row>
    <row r="12" spans="1:5">
      <c r="A12" s="3">
        <v>9</v>
      </c>
      <c r="B12" s="3" t="s">
        <v>485</v>
      </c>
      <c r="C12" s="3"/>
      <c r="D12" s="3"/>
      <c r="E12" s="3"/>
    </row>
    <row r="13" spans="1:5">
      <c r="A13" s="3">
        <v>10</v>
      </c>
      <c r="B13" s="3" t="s">
        <v>511</v>
      </c>
      <c r="C13" s="3"/>
      <c r="D13" s="3"/>
      <c r="E13" s="3"/>
    </row>
    <row r="14" spans="1:5">
      <c r="A14" s="3">
        <v>11</v>
      </c>
      <c r="B14" s="3" t="s">
        <v>508</v>
      </c>
      <c r="C14" s="3"/>
      <c r="D14" s="3"/>
      <c r="E14" s="3"/>
    </row>
    <row r="15" spans="1:5">
      <c r="A15" s="3">
        <v>12</v>
      </c>
      <c r="B15" s="3" t="s">
        <v>1089</v>
      </c>
      <c r="C15" s="3"/>
      <c r="D15" s="3"/>
      <c r="E15" s="3"/>
    </row>
    <row r="16" spans="1:5">
      <c r="A16" s="3">
        <v>13</v>
      </c>
      <c r="B16" s="3" t="s">
        <v>543</v>
      </c>
      <c r="C16" s="3"/>
      <c r="D16" s="3"/>
      <c r="E16" s="3"/>
    </row>
    <row r="17" spans="1:5">
      <c r="A17" s="3">
        <v>14</v>
      </c>
      <c r="B17" s="3" t="s">
        <v>489</v>
      </c>
      <c r="C17" s="3"/>
      <c r="D17" s="3"/>
      <c r="E17" s="3"/>
    </row>
  </sheetData>
  <customSheetViews>
    <customSheetView guid="{2940EC69-0E40-4162-8549-ED35AA338A49}" state="hidden">
      <selection activeCell="E6" sqref="E6"/>
      <pageMargins left="0.69972223043441772" right="0.69972223043441772" top="0.75" bottom="0.75" header="0.30000001192092896" footer="0.30000001192092896"/>
      <pageSetup paperSize="9" orientation="portrait" verticalDpi="0"/>
    </customSheetView>
    <customSheetView guid="{795AB5AE-C53F-4700-AA4F-485409291E6B}" state="hidden">
      <selection activeCell="E6" sqref="E6"/>
      <pageMargins left="0.69972223043441772" right="0.69972223043441772" top="0.75" bottom="0.75" header="0.30000001192092896" footer="0.30000001192092896"/>
      <pageSetup paperSize="9" orientation="portrait" verticalDpi="0"/>
    </customSheetView>
    <customSheetView guid="{C0B3E00A-6A64-4A32-8796-BF55C9AAD4EA}" state="hidden">
      <selection activeCell="E6" sqref="E6"/>
      <pageMargins left="0.69972223043441772" right="0.69972223043441772" top="0.75" bottom="0.75" header="0.30000001192092896" footer="0.30000001192092896"/>
      <pageSetup paperSize="9" orientation="portrait" verticalDpi="0"/>
    </customSheetView>
    <customSheetView guid="{EB4CA770-1436-4E3D-889F-30E34BABACCC}" state="hidden">
      <selection activeCell="E6" sqref="E6"/>
      <pageMargins left="0.69972223043441772" right="0.69972223043441772" top="0.75" bottom="0.75" header="0.30000001192092896" footer="0.30000001192092896"/>
      <pageSetup paperSize="9" orientation="portrait" verticalDpi="0"/>
    </customSheetView>
    <customSheetView guid="{2A8CFD2D-F9CC-4306-8A26-A82C68617360}" state="hidden">
      <selection activeCell="E6" sqref="E6"/>
      <pageMargins left="0.69972223043441772" right="0.69972223043441772" top="0.75" bottom="0.75" header="0.30000001192092896" footer="0.30000001192092896"/>
      <pageSetup paperSize="9" orientation="portrait" verticalDpi="0"/>
    </customSheetView>
    <customSheetView guid="{70346E6A-FAEE-4C37-A89C-D6DC7354E054}" state="hidden">
      <selection activeCell="E6" sqref="E6"/>
      <pageMargins left="0.69972223043441772" right="0.69972223043441772" top="0.75" bottom="0.75" header="0.30000001192092896" footer="0.30000001192092896"/>
      <pageSetup paperSize="9" orientation="portrait" verticalDpi="0"/>
    </customSheetView>
  </customSheetViews>
  <mergeCells count="4">
    <mergeCell ref="C2:D2"/>
    <mergeCell ref="A2:A3"/>
    <mergeCell ref="B2:B3"/>
    <mergeCell ref="E2:E3"/>
  </mergeCells>
  <phoneticPr fontId="13" type="noConversion"/>
  <pageMargins left="0.69972223043441772" right="0.69972223043441772" top="0.75" bottom="0.75" header="0.30000001192092896" footer="0.30000001192092896"/>
  <pageSetup paperSize="9" orientation="portrait"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13"/>
  <sheetViews>
    <sheetView zoomScaleNormal="100" zoomScaleSheetLayoutView="75" workbookViewId="0">
      <selection activeCell="E6" sqref="E6"/>
    </sheetView>
  </sheetViews>
  <sheetFormatPr defaultColWidth="9" defaultRowHeight="16.5"/>
  <cols>
    <col min="1" max="1" width="42.75" bestFit="1" customWidth="1"/>
    <col min="2" max="2" width="46.625" bestFit="1" customWidth="1"/>
  </cols>
  <sheetData>
    <row r="1" spans="1:2" ht="58.5" customHeight="1">
      <c r="A1" s="43" t="s">
        <v>435</v>
      </c>
    </row>
    <row r="2" spans="1:2" ht="33" customHeight="1">
      <c r="A2" s="42" t="s">
        <v>501</v>
      </c>
      <c r="B2" s="42" t="s">
        <v>503</v>
      </c>
    </row>
    <row r="3" spans="1:2" ht="33" customHeight="1">
      <c r="A3" s="3" t="s">
        <v>127</v>
      </c>
      <c r="B3" s="3" t="s">
        <v>128</v>
      </c>
    </row>
    <row r="4" spans="1:2" ht="33" customHeight="1">
      <c r="A4" s="3" t="s">
        <v>1095</v>
      </c>
      <c r="B4" s="3" t="s">
        <v>514</v>
      </c>
    </row>
    <row r="5" spans="1:2" ht="33" customHeight="1">
      <c r="A5" s="3" t="s">
        <v>1112</v>
      </c>
      <c r="B5" s="3" t="s">
        <v>514</v>
      </c>
    </row>
    <row r="6" spans="1:2" ht="33" customHeight="1">
      <c r="A6" s="3" t="s">
        <v>1091</v>
      </c>
      <c r="B6" s="3" t="s">
        <v>153</v>
      </c>
    </row>
    <row r="7" spans="1:2" ht="33" customHeight="1">
      <c r="A7" s="3" t="s">
        <v>482</v>
      </c>
      <c r="B7" s="3" t="s">
        <v>126</v>
      </c>
    </row>
    <row r="8" spans="1:2" ht="33" customHeight="1">
      <c r="A8" s="3" t="s">
        <v>496</v>
      </c>
      <c r="B8" s="3" t="s">
        <v>113</v>
      </c>
    </row>
    <row r="9" spans="1:2" ht="33" customHeight="1">
      <c r="A9" s="3" t="s">
        <v>475</v>
      </c>
      <c r="B9" s="3" t="s">
        <v>113</v>
      </c>
    </row>
    <row r="10" spans="1:2" ht="33" customHeight="1">
      <c r="A10" s="3" t="s">
        <v>433</v>
      </c>
      <c r="B10" s="3" t="s">
        <v>45</v>
      </c>
    </row>
    <row r="11" spans="1:2" ht="33" customHeight="1">
      <c r="A11" s="3" t="s">
        <v>771</v>
      </c>
      <c r="B11" s="3" t="s">
        <v>1086</v>
      </c>
    </row>
    <row r="12" spans="1:2" ht="33" customHeight="1">
      <c r="A12" s="3" t="s">
        <v>415</v>
      </c>
      <c r="B12" s="3" t="s">
        <v>120</v>
      </c>
    </row>
    <row r="13" spans="1:2" ht="33" customHeight="1">
      <c r="A13" s="3" t="s">
        <v>704</v>
      </c>
      <c r="B13" s="3" t="s">
        <v>113</v>
      </c>
    </row>
  </sheetData>
  <customSheetViews>
    <customSheetView guid="{2940EC69-0E40-4162-8549-ED35AA338A49}" state="hidden">
      <selection activeCell="E6" sqref="E6"/>
      <pageMargins left="0.69972223043441772" right="0.69972223043441772" top="0.75" bottom="0.75" header="0.30000001192092896" footer="0.30000001192092896"/>
      <pageSetup paperSize="9" fitToWidth="0" fitToHeight="0" orientation="portrait"/>
    </customSheetView>
    <customSheetView guid="{795AB5AE-C53F-4700-AA4F-485409291E6B}" state="hidden">
      <selection activeCell="E6" sqref="E6"/>
      <pageMargins left="0.69972223043441772" right="0.69972223043441772" top="0.75" bottom="0.75" header="0.30000001192092896" footer="0.30000001192092896"/>
      <pageSetup paperSize="9" fitToWidth="0" fitToHeight="0" orientation="portrait"/>
    </customSheetView>
    <customSheetView guid="{C0B3E00A-6A64-4A32-8796-BF55C9AAD4EA}" state="hidden">
      <selection activeCell="E6" sqref="E6"/>
      <pageMargins left="0.69972223043441772" right="0.69972223043441772" top="0.75" bottom="0.75" header="0.30000001192092896" footer="0.30000001192092896"/>
      <pageSetup paperSize="9" fitToWidth="0" fitToHeight="0" orientation="portrait"/>
    </customSheetView>
    <customSheetView guid="{EB4CA770-1436-4E3D-889F-30E34BABACCC}" state="hidden">
      <selection activeCell="E6" sqref="E6"/>
      <pageMargins left="0.69972223043441772" right="0.69972223043441772" top="0.75" bottom="0.75" header="0.30000001192092896" footer="0.30000001192092896"/>
      <pageSetup paperSize="9" fitToWidth="0" fitToHeight="0" orientation="portrait"/>
    </customSheetView>
    <customSheetView guid="{2A8CFD2D-F9CC-4306-8A26-A82C68617360}" state="hidden">
      <selection activeCell="E6" sqref="E6"/>
      <pageMargins left="0.69972223043441772" right="0.69972223043441772" top="0.75" bottom="0.75" header="0.30000001192092896" footer="0.30000001192092896"/>
      <pageSetup paperSize="9" fitToWidth="0" fitToHeight="0" orientation="portrait"/>
    </customSheetView>
    <customSheetView guid="{70346E6A-FAEE-4C37-A89C-D6DC7354E054}" state="hidden">
      <selection activeCell="E6" sqref="E6"/>
      <pageMargins left="0.69972223043441772" right="0.69972223043441772" top="0.75" bottom="0.75" header="0.30000001192092896" footer="0.30000001192092896"/>
      <pageSetup paperSize="9" fitToWidth="0" fitToHeight="0" orientation="portrait"/>
    </customSheetView>
  </customSheetViews>
  <phoneticPr fontId="13" type="noConversion"/>
  <pageMargins left="0.69972223043441772" right="0.69972223043441772" top="0.75" bottom="0.75" header="0.30000001192092896" footer="0.30000001192092896"/>
  <pageSetup paperSize="9" fitToWidth="0" fitToHeight="0"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T377"/>
  <sheetViews>
    <sheetView showGridLines="0" zoomScaleNormal="100" zoomScaleSheetLayoutView="75" workbookViewId="0">
      <pane ySplit="1" topLeftCell="A95" activePane="bottomLeft" state="frozen"/>
      <selection pane="bottomLeft" activeCell="E6" sqref="E6"/>
    </sheetView>
  </sheetViews>
  <sheetFormatPr defaultColWidth="9" defaultRowHeight="16.5"/>
  <cols>
    <col min="1" max="1" width="5.625" customWidth="1"/>
    <col min="2" max="2" width="15.625" customWidth="1"/>
    <col min="3" max="3" width="10.625" customWidth="1"/>
    <col min="4" max="4" width="10.625" hidden="1" customWidth="1"/>
    <col min="5" max="5" width="15.625" customWidth="1"/>
    <col min="6" max="6" width="25.625" customWidth="1"/>
    <col min="7" max="8" width="50.625" customWidth="1"/>
    <col min="9" max="11" width="10.625" style="31" customWidth="1"/>
    <col min="12" max="12" width="35.375" customWidth="1"/>
    <col min="13" max="14" width="30.625" customWidth="1"/>
    <col min="15" max="16" width="10.625" style="31" customWidth="1"/>
    <col min="17" max="17" width="20.625" customWidth="1"/>
    <col min="18" max="18" width="39" hidden="1" customWidth="1"/>
    <col min="19" max="19" width="21.875" hidden="1" customWidth="1"/>
    <col min="20" max="20" width="23.625" hidden="1" customWidth="1"/>
  </cols>
  <sheetData>
    <row r="1" spans="1:20" s="8" customFormat="1" ht="30" customHeight="1">
      <c r="A1" s="7" t="s">
        <v>132</v>
      </c>
      <c r="B1" s="7" t="s">
        <v>134</v>
      </c>
      <c r="C1" s="7" t="s">
        <v>451</v>
      </c>
      <c r="D1" s="7" t="s">
        <v>459</v>
      </c>
      <c r="E1" s="9" t="s">
        <v>1083</v>
      </c>
      <c r="F1" s="7" t="s">
        <v>538</v>
      </c>
      <c r="G1" s="7" t="s">
        <v>448</v>
      </c>
      <c r="H1" s="7" t="s">
        <v>935</v>
      </c>
      <c r="I1" s="7" t="s">
        <v>492</v>
      </c>
      <c r="J1" s="7" t="s">
        <v>464</v>
      </c>
      <c r="K1" s="7" t="s">
        <v>456</v>
      </c>
      <c r="L1" s="7" t="s">
        <v>494</v>
      </c>
      <c r="M1" s="7" t="s">
        <v>480</v>
      </c>
      <c r="N1" s="7" t="s">
        <v>476</v>
      </c>
      <c r="O1" s="7" t="s">
        <v>462</v>
      </c>
      <c r="P1" s="7" t="s">
        <v>457</v>
      </c>
      <c r="Q1" s="7" t="s">
        <v>138</v>
      </c>
      <c r="R1" s="7" t="s">
        <v>466</v>
      </c>
      <c r="S1" s="7" t="s">
        <v>682</v>
      </c>
      <c r="T1" s="7" t="s">
        <v>467</v>
      </c>
    </row>
    <row r="2" spans="1:20" ht="27">
      <c r="A2" s="1">
        <v>1</v>
      </c>
      <c r="B2" s="1" t="s">
        <v>146</v>
      </c>
      <c r="C2" s="1" t="s">
        <v>554</v>
      </c>
      <c r="D2" s="1">
        <v>1</v>
      </c>
      <c r="E2" s="1" t="str">
        <f>C2&amp;"-"&amp;TEXT(D2,"000")</f>
        <v>SFR-001-001</v>
      </c>
      <c r="F2" s="4" t="s">
        <v>557</v>
      </c>
      <c r="G2" s="2" t="s">
        <v>628</v>
      </c>
      <c r="H2" s="2"/>
      <c r="I2" s="30"/>
      <c r="J2" s="30"/>
      <c r="K2" s="30" t="s">
        <v>481</v>
      </c>
      <c r="L2" s="2"/>
      <c r="M2" s="2" t="s">
        <v>41</v>
      </c>
      <c r="N2" s="2" t="s">
        <v>422</v>
      </c>
      <c r="O2" s="30" t="s">
        <v>160</v>
      </c>
      <c r="P2" s="30"/>
      <c r="Q2" s="2"/>
      <c r="R2" s="6" t="s">
        <v>770</v>
      </c>
      <c r="S2" s="4" t="s">
        <v>1075</v>
      </c>
      <c r="T2" s="4" t="s">
        <v>454</v>
      </c>
    </row>
    <row r="3" spans="1:20" ht="67.5">
      <c r="A3" s="1">
        <v>2</v>
      </c>
      <c r="B3" s="1" t="s">
        <v>146</v>
      </c>
      <c r="C3" s="1" t="s">
        <v>554</v>
      </c>
      <c r="D3" s="1">
        <f>IF(C2=C3,D2+1,1)</f>
        <v>2</v>
      </c>
      <c r="E3" s="1" t="str">
        <f t="shared" ref="E3:E66" si="0">C3&amp;"-"&amp;TEXT(D3,"000")</f>
        <v>SFR-001-002</v>
      </c>
      <c r="F3" s="4" t="s">
        <v>557</v>
      </c>
      <c r="G3" s="2" t="s">
        <v>748</v>
      </c>
      <c r="H3" s="2" t="s">
        <v>741</v>
      </c>
      <c r="I3" s="30"/>
      <c r="J3" s="30"/>
      <c r="K3" s="30" t="s">
        <v>481</v>
      </c>
      <c r="L3" s="2"/>
      <c r="M3" s="2"/>
      <c r="N3" s="2"/>
      <c r="O3" s="30" t="s">
        <v>160</v>
      </c>
      <c r="P3" s="30"/>
      <c r="Q3" s="2"/>
      <c r="R3" s="2" t="s">
        <v>455</v>
      </c>
      <c r="S3" s="4" t="s">
        <v>322</v>
      </c>
      <c r="T3" s="4" t="s">
        <v>410</v>
      </c>
    </row>
    <row r="4" spans="1:20" ht="27">
      <c r="A4" s="1">
        <v>3</v>
      </c>
      <c r="B4" s="1" t="s">
        <v>146</v>
      </c>
      <c r="C4" s="1" t="s">
        <v>554</v>
      </c>
      <c r="D4" s="1">
        <f t="shared" ref="D4:D67" si="1">IF(C3=C4,D3+1,1)</f>
        <v>3</v>
      </c>
      <c r="E4" s="1" t="str">
        <f t="shared" si="0"/>
        <v>SFR-001-003</v>
      </c>
      <c r="F4" s="4" t="s">
        <v>557</v>
      </c>
      <c r="G4" s="2" t="s">
        <v>748</v>
      </c>
      <c r="H4" s="2" t="s">
        <v>85</v>
      </c>
      <c r="I4" s="30"/>
      <c r="J4" s="30"/>
      <c r="K4" s="30" t="s">
        <v>481</v>
      </c>
      <c r="L4" s="2"/>
      <c r="M4" s="2"/>
      <c r="N4" s="2"/>
      <c r="O4" s="30" t="s">
        <v>160</v>
      </c>
      <c r="P4" s="30"/>
      <c r="Q4" s="2"/>
      <c r="R4" s="2"/>
      <c r="S4" s="4"/>
      <c r="T4" s="4"/>
    </row>
    <row r="5" spans="1:20" ht="27">
      <c r="A5" s="1">
        <v>4</v>
      </c>
      <c r="B5" s="1" t="s">
        <v>146</v>
      </c>
      <c r="C5" s="1" t="s">
        <v>554</v>
      </c>
      <c r="D5" s="1">
        <f t="shared" si="1"/>
        <v>4</v>
      </c>
      <c r="E5" s="1" t="str">
        <f t="shared" si="0"/>
        <v>SFR-001-004</v>
      </c>
      <c r="F5" s="4" t="s">
        <v>557</v>
      </c>
      <c r="G5" s="2" t="s">
        <v>748</v>
      </c>
      <c r="H5" s="2" t="s">
        <v>355</v>
      </c>
      <c r="I5" s="30"/>
      <c r="J5" s="30"/>
      <c r="K5" s="30" t="s">
        <v>481</v>
      </c>
      <c r="L5" s="2"/>
      <c r="M5" s="2"/>
      <c r="N5" s="2"/>
      <c r="O5" s="30" t="s">
        <v>160</v>
      </c>
      <c r="P5" s="30"/>
      <c r="Q5" s="2"/>
      <c r="R5" s="2"/>
      <c r="S5" s="4"/>
      <c r="T5" s="4"/>
    </row>
    <row r="6" spans="1:20" ht="81">
      <c r="A6" s="1">
        <v>5</v>
      </c>
      <c r="B6" s="1" t="s">
        <v>146</v>
      </c>
      <c r="C6" s="1" t="s">
        <v>554</v>
      </c>
      <c r="D6" s="1">
        <f t="shared" si="1"/>
        <v>5</v>
      </c>
      <c r="E6" s="1" t="str">
        <f t="shared" si="0"/>
        <v>SFR-001-005</v>
      </c>
      <c r="F6" s="4" t="s">
        <v>557</v>
      </c>
      <c r="G6" s="2" t="s">
        <v>174</v>
      </c>
      <c r="H6" s="2" t="s">
        <v>89</v>
      </c>
      <c r="I6" s="30"/>
      <c r="J6" s="30"/>
      <c r="K6" s="30" t="s">
        <v>481</v>
      </c>
      <c r="L6" s="2"/>
      <c r="M6" s="2"/>
      <c r="N6" s="2"/>
      <c r="O6" s="30" t="s">
        <v>160</v>
      </c>
      <c r="P6" s="30"/>
      <c r="Q6" s="2"/>
      <c r="R6" s="2" t="s">
        <v>940</v>
      </c>
      <c r="S6" s="4"/>
      <c r="T6" s="4" t="s">
        <v>58</v>
      </c>
    </row>
    <row r="7" spans="1:20" ht="40.5">
      <c r="A7" s="1">
        <v>6</v>
      </c>
      <c r="B7" s="1" t="s">
        <v>146</v>
      </c>
      <c r="C7" s="1" t="s">
        <v>554</v>
      </c>
      <c r="D7" s="1">
        <f t="shared" si="1"/>
        <v>6</v>
      </c>
      <c r="E7" s="1" t="str">
        <f t="shared" si="0"/>
        <v>SFR-001-006</v>
      </c>
      <c r="F7" s="4" t="s">
        <v>557</v>
      </c>
      <c r="G7" s="2" t="s">
        <v>174</v>
      </c>
      <c r="H7" s="2" t="s">
        <v>325</v>
      </c>
      <c r="I7" s="30"/>
      <c r="J7" s="30"/>
      <c r="K7" s="30" t="s">
        <v>481</v>
      </c>
      <c r="L7" s="2"/>
      <c r="M7" s="2"/>
      <c r="N7" s="2"/>
      <c r="O7" s="30" t="s">
        <v>160</v>
      </c>
      <c r="P7" s="30"/>
      <c r="Q7" s="2"/>
      <c r="R7" s="2"/>
      <c r="S7" s="4"/>
      <c r="T7" s="4"/>
    </row>
    <row r="8" spans="1:20" ht="27">
      <c r="A8" s="1">
        <v>7</v>
      </c>
      <c r="B8" s="1" t="s">
        <v>146</v>
      </c>
      <c r="C8" s="1" t="s">
        <v>554</v>
      </c>
      <c r="D8" s="1">
        <f t="shared" si="1"/>
        <v>7</v>
      </c>
      <c r="E8" s="1" t="str">
        <f t="shared" si="0"/>
        <v>SFR-001-007</v>
      </c>
      <c r="F8" s="4" t="s">
        <v>557</v>
      </c>
      <c r="G8" s="2" t="s">
        <v>346</v>
      </c>
      <c r="H8" s="2" t="s">
        <v>218</v>
      </c>
      <c r="I8" s="30"/>
      <c r="J8" s="30"/>
      <c r="K8" s="30" t="s">
        <v>481</v>
      </c>
      <c r="L8" s="2"/>
      <c r="M8" s="2"/>
      <c r="N8" s="2"/>
      <c r="O8" s="30" t="s">
        <v>160</v>
      </c>
      <c r="P8" s="30"/>
      <c r="Q8" s="2"/>
      <c r="R8" s="2"/>
      <c r="S8" s="4" t="s">
        <v>925</v>
      </c>
      <c r="T8" s="4" t="s">
        <v>118</v>
      </c>
    </row>
    <row r="9" spans="1:20" ht="27">
      <c r="A9" s="1">
        <v>8</v>
      </c>
      <c r="B9" s="1" t="s">
        <v>146</v>
      </c>
      <c r="C9" s="1" t="s">
        <v>554</v>
      </c>
      <c r="D9" s="1">
        <f t="shared" si="1"/>
        <v>8</v>
      </c>
      <c r="E9" s="1" t="str">
        <f t="shared" si="0"/>
        <v>SFR-001-008</v>
      </c>
      <c r="F9" s="4" t="s">
        <v>557</v>
      </c>
      <c r="G9" s="2" t="s">
        <v>346</v>
      </c>
      <c r="H9" s="2" t="s">
        <v>263</v>
      </c>
      <c r="I9" s="30"/>
      <c r="J9" s="30"/>
      <c r="K9" s="30" t="s">
        <v>481</v>
      </c>
      <c r="L9" s="2"/>
      <c r="M9" s="2"/>
      <c r="N9" s="2"/>
      <c r="O9" s="30" t="s">
        <v>160</v>
      </c>
      <c r="P9" s="30"/>
      <c r="Q9" s="2"/>
      <c r="R9" s="2"/>
      <c r="S9" s="4"/>
      <c r="T9" s="4"/>
    </row>
    <row r="10" spans="1:20" ht="27">
      <c r="A10" s="1">
        <v>9</v>
      </c>
      <c r="B10" s="1" t="s">
        <v>146</v>
      </c>
      <c r="C10" s="1" t="s">
        <v>554</v>
      </c>
      <c r="D10" s="1">
        <f t="shared" si="1"/>
        <v>9</v>
      </c>
      <c r="E10" s="1" t="str">
        <f t="shared" si="0"/>
        <v>SFR-001-009</v>
      </c>
      <c r="F10" s="4" t="s">
        <v>557</v>
      </c>
      <c r="G10" s="2" t="s">
        <v>343</v>
      </c>
      <c r="H10" s="2" t="s">
        <v>1186</v>
      </c>
      <c r="I10" s="30"/>
      <c r="J10" s="30"/>
      <c r="K10" s="30" t="s">
        <v>481</v>
      </c>
      <c r="L10" s="2"/>
      <c r="M10" s="2"/>
      <c r="N10" s="2"/>
      <c r="O10" s="30" t="s">
        <v>160</v>
      </c>
      <c r="P10" s="30"/>
      <c r="Q10" s="2"/>
      <c r="R10" s="2"/>
      <c r="S10" s="4" t="s">
        <v>1075</v>
      </c>
      <c r="T10" s="4" t="s">
        <v>454</v>
      </c>
    </row>
    <row r="11" spans="1:20" ht="27">
      <c r="A11" s="1">
        <v>10</v>
      </c>
      <c r="B11" s="1" t="s">
        <v>146</v>
      </c>
      <c r="C11" s="1" t="s">
        <v>554</v>
      </c>
      <c r="D11" s="1">
        <f t="shared" si="1"/>
        <v>10</v>
      </c>
      <c r="E11" s="1" t="str">
        <f t="shared" si="0"/>
        <v>SFR-001-010</v>
      </c>
      <c r="F11" s="4" t="s">
        <v>557</v>
      </c>
      <c r="G11" s="2" t="s">
        <v>245</v>
      </c>
      <c r="H11" s="2"/>
      <c r="I11" s="30"/>
      <c r="J11" s="30"/>
      <c r="K11" s="30" t="s">
        <v>481</v>
      </c>
      <c r="L11" s="2"/>
      <c r="M11" s="2"/>
      <c r="N11" s="2"/>
      <c r="O11" s="30" t="s">
        <v>160</v>
      </c>
      <c r="P11" s="30"/>
      <c r="Q11" s="2"/>
      <c r="R11" s="2" t="s">
        <v>461</v>
      </c>
      <c r="S11" s="4" t="s">
        <v>769</v>
      </c>
      <c r="T11" s="4"/>
    </row>
    <row r="12" spans="1:20" ht="54">
      <c r="A12" s="1">
        <v>11</v>
      </c>
      <c r="B12" s="1" t="s">
        <v>146</v>
      </c>
      <c r="C12" s="1" t="s">
        <v>560</v>
      </c>
      <c r="D12" s="1">
        <f t="shared" si="1"/>
        <v>1</v>
      </c>
      <c r="E12" s="1" t="str">
        <f t="shared" si="0"/>
        <v>SFR-002-001</v>
      </c>
      <c r="F12" s="4" t="s">
        <v>1067</v>
      </c>
      <c r="G12" s="2" t="s">
        <v>397</v>
      </c>
      <c r="H12" s="2"/>
      <c r="I12" s="30"/>
      <c r="J12" s="30"/>
      <c r="K12" s="30" t="s">
        <v>481</v>
      </c>
      <c r="L12" s="2"/>
      <c r="M12" s="2"/>
      <c r="N12" s="2"/>
      <c r="O12" s="30" t="s">
        <v>160</v>
      </c>
      <c r="P12" s="30"/>
      <c r="Q12" s="2"/>
      <c r="R12" s="2" t="s">
        <v>452</v>
      </c>
      <c r="S12" s="4" t="s">
        <v>925</v>
      </c>
      <c r="T12" s="4" t="s">
        <v>636</v>
      </c>
    </row>
    <row r="13" spans="1:20" ht="40.5">
      <c r="A13" s="1">
        <v>12</v>
      </c>
      <c r="B13" s="1" t="s">
        <v>146</v>
      </c>
      <c r="C13" s="1" t="s">
        <v>560</v>
      </c>
      <c r="D13" s="1">
        <f t="shared" si="1"/>
        <v>2</v>
      </c>
      <c r="E13" s="1" t="str">
        <f t="shared" si="0"/>
        <v>SFR-002-002</v>
      </c>
      <c r="F13" s="4" t="s">
        <v>1067</v>
      </c>
      <c r="G13" s="2" t="s">
        <v>188</v>
      </c>
      <c r="H13" s="2"/>
      <c r="I13" s="30"/>
      <c r="J13" s="30"/>
      <c r="K13" s="30" t="s">
        <v>481</v>
      </c>
      <c r="L13" s="2"/>
      <c r="M13" s="2"/>
      <c r="N13" s="2"/>
      <c r="O13" s="30" t="s">
        <v>160</v>
      </c>
      <c r="P13" s="30"/>
      <c r="Q13" s="2"/>
      <c r="R13" s="2"/>
      <c r="S13" s="4"/>
      <c r="T13" s="4"/>
    </row>
    <row r="14" spans="1:20" ht="27">
      <c r="A14" s="1">
        <v>13</v>
      </c>
      <c r="B14" s="1" t="s">
        <v>146</v>
      </c>
      <c r="C14" s="1" t="s">
        <v>560</v>
      </c>
      <c r="D14" s="1">
        <f t="shared" si="1"/>
        <v>3</v>
      </c>
      <c r="E14" s="1" t="str">
        <f t="shared" si="0"/>
        <v>SFR-002-003</v>
      </c>
      <c r="F14" s="4" t="s">
        <v>1067</v>
      </c>
      <c r="G14" s="2" t="s">
        <v>261</v>
      </c>
      <c r="H14" s="2"/>
      <c r="I14" s="30"/>
      <c r="J14" s="30"/>
      <c r="K14" s="30" t="s">
        <v>481</v>
      </c>
      <c r="L14" s="2"/>
      <c r="M14" s="2"/>
      <c r="N14" s="2"/>
      <c r="O14" s="30" t="s">
        <v>160</v>
      </c>
      <c r="P14" s="30"/>
      <c r="Q14" s="2"/>
      <c r="R14" s="2"/>
      <c r="S14" s="4"/>
      <c r="T14" s="4"/>
    </row>
    <row r="15" spans="1:20" ht="27">
      <c r="A15" s="1">
        <v>14</v>
      </c>
      <c r="B15" s="1" t="s">
        <v>146</v>
      </c>
      <c r="C15" s="1" t="s">
        <v>560</v>
      </c>
      <c r="D15" s="1">
        <f t="shared" si="1"/>
        <v>4</v>
      </c>
      <c r="E15" s="1" t="str">
        <f t="shared" si="0"/>
        <v>SFR-002-004</v>
      </c>
      <c r="F15" s="4" t="s">
        <v>1067</v>
      </c>
      <c r="G15" s="2" t="s">
        <v>614</v>
      </c>
      <c r="H15" s="2"/>
      <c r="I15" s="30"/>
      <c r="J15" s="30"/>
      <c r="K15" s="30" t="s">
        <v>481</v>
      </c>
      <c r="L15" s="2"/>
      <c r="M15" s="2"/>
      <c r="N15" s="2"/>
      <c r="O15" s="30" t="s">
        <v>160</v>
      </c>
      <c r="P15" s="30"/>
      <c r="Q15" s="2"/>
      <c r="R15" s="2"/>
      <c r="S15" s="4"/>
      <c r="T15" s="4"/>
    </row>
    <row r="16" spans="1:20" ht="27">
      <c r="A16" s="1">
        <v>15</v>
      </c>
      <c r="B16" s="1" t="s">
        <v>146</v>
      </c>
      <c r="C16" s="1" t="s">
        <v>560</v>
      </c>
      <c r="D16" s="1">
        <f t="shared" si="1"/>
        <v>5</v>
      </c>
      <c r="E16" s="1" t="str">
        <f t="shared" si="0"/>
        <v>SFR-002-005</v>
      </c>
      <c r="F16" s="4" t="s">
        <v>1067</v>
      </c>
      <c r="G16" s="2" t="s">
        <v>575</v>
      </c>
      <c r="H16" s="2"/>
      <c r="I16" s="30"/>
      <c r="J16" s="30"/>
      <c r="K16" s="30" t="s">
        <v>481</v>
      </c>
      <c r="L16" s="2"/>
      <c r="M16" s="2"/>
      <c r="N16" s="2"/>
      <c r="O16" s="30" t="s">
        <v>160</v>
      </c>
      <c r="P16" s="30"/>
      <c r="Q16" s="2"/>
      <c r="R16" s="2"/>
      <c r="S16" s="4"/>
      <c r="T16" s="4"/>
    </row>
    <row r="17" spans="1:20" ht="27">
      <c r="A17" s="1">
        <v>16</v>
      </c>
      <c r="B17" s="1" t="s">
        <v>146</v>
      </c>
      <c r="C17" s="1" t="s">
        <v>560</v>
      </c>
      <c r="D17" s="1">
        <f t="shared" si="1"/>
        <v>6</v>
      </c>
      <c r="E17" s="1" t="str">
        <f t="shared" si="0"/>
        <v>SFR-002-006</v>
      </c>
      <c r="F17" s="4" t="s">
        <v>1067</v>
      </c>
      <c r="G17" s="2" t="s">
        <v>230</v>
      </c>
      <c r="H17" s="2"/>
      <c r="I17" s="30"/>
      <c r="J17" s="30"/>
      <c r="K17" s="30" t="s">
        <v>481</v>
      </c>
      <c r="L17" s="2"/>
      <c r="M17" s="2"/>
      <c r="N17" s="2"/>
      <c r="O17" s="30" t="s">
        <v>160</v>
      </c>
      <c r="P17" s="30"/>
      <c r="Q17" s="2"/>
      <c r="R17" s="2"/>
      <c r="S17" s="4"/>
      <c r="T17" s="4"/>
    </row>
    <row r="18" spans="1:20" ht="27">
      <c r="A18" s="1">
        <v>17</v>
      </c>
      <c r="B18" s="1" t="s">
        <v>146</v>
      </c>
      <c r="C18" s="1" t="s">
        <v>560</v>
      </c>
      <c r="D18" s="1">
        <f t="shared" si="1"/>
        <v>7</v>
      </c>
      <c r="E18" s="1" t="str">
        <f t="shared" si="0"/>
        <v>SFR-002-007</v>
      </c>
      <c r="F18" s="4" t="s">
        <v>1067</v>
      </c>
      <c r="G18" s="2" t="s">
        <v>1188</v>
      </c>
      <c r="H18" s="2"/>
      <c r="I18" s="30"/>
      <c r="J18" s="30"/>
      <c r="K18" s="30" t="s">
        <v>481</v>
      </c>
      <c r="L18" s="2"/>
      <c r="M18" s="2"/>
      <c r="N18" s="2"/>
      <c r="O18" s="30" t="s">
        <v>160</v>
      </c>
      <c r="P18" s="30"/>
      <c r="Q18" s="2"/>
      <c r="R18" s="2"/>
      <c r="S18" s="4"/>
      <c r="T18" s="4"/>
    </row>
    <row r="19" spans="1:20">
      <c r="A19" s="1">
        <v>18</v>
      </c>
      <c r="B19" s="1" t="s">
        <v>146</v>
      </c>
      <c r="C19" s="1" t="s">
        <v>560</v>
      </c>
      <c r="D19" s="1">
        <f t="shared" si="1"/>
        <v>8</v>
      </c>
      <c r="E19" s="1" t="str">
        <f t="shared" si="0"/>
        <v>SFR-002-008</v>
      </c>
      <c r="F19" s="4" t="s">
        <v>1067</v>
      </c>
      <c r="G19" s="2" t="s">
        <v>631</v>
      </c>
      <c r="H19" s="2"/>
      <c r="I19" s="30"/>
      <c r="J19" s="30"/>
      <c r="K19" s="30" t="s">
        <v>481</v>
      </c>
      <c r="L19" s="2"/>
      <c r="M19" s="2"/>
      <c r="N19" s="2"/>
      <c r="O19" s="30" t="s">
        <v>160</v>
      </c>
      <c r="P19" s="30"/>
      <c r="Q19" s="2"/>
      <c r="R19" s="2"/>
      <c r="S19" s="4"/>
      <c r="T19" s="4"/>
    </row>
    <row r="20" spans="1:20" ht="40.5">
      <c r="A20" s="1">
        <v>19</v>
      </c>
      <c r="B20" s="1" t="s">
        <v>146</v>
      </c>
      <c r="C20" s="1" t="s">
        <v>560</v>
      </c>
      <c r="D20" s="1">
        <f t="shared" si="1"/>
        <v>9</v>
      </c>
      <c r="E20" s="1" t="str">
        <f t="shared" si="0"/>
        <v>SFR-002-009</v>
      </c>
      <c r="F20" s="4" t="s">
        <v>1067</v>
      </c>
      <c r="G20" s="2" t="s">
        <v>372</v>
      </c>
      <c r="H20" s="2" t="s">
        <v>726</v>
      </c>
      <c r="I20" s="30"/>
      <c r="J20" s="30"/>
      <c r="K20" s="30" t="s">
        <v>481</v>
      </c>
      <c r="L20" s="2"/>
      <c r="M20" s="2"/>
      <c r="N20" s="2"/>
      <c r="O20" s="30" t="s">
        <v>160</v>
      </c>
      <c r="P20" s="30"/>
      <c r="Q20" s="2"/>
      <c r="R20" s="2"/>
      <c r="S20" s="4"/>
      <c r="T20" s="4" t="s">
        <v>403</v>
      </c>
    </row>
    <row r="21" spans="1:20" ht="27">
      <c r="A21" s="1">
        <v>20</v>
      </c>
      <c r="B21" s="1" t="s">
        <v>146</v>
      </c>
      <c r="C21" s="1" t="s">
        <v>560</v>
      </c>
      <c r="D21" s="1">
        <f t="shared" si="1"/>
        <v>10</v>
      </c>
      <c r="E21" s="1" t="str">
        <f t="shared" si="0"/>
        <v>SFR-002-010</v>
      </c>
      <c r="F21" s="4" t="s">
        <v>1067</v>
      </c>
      <c r="G21" s="2" t="s">
        <v>28</v>
      </c>
      <c r="H21" s="2"/>
      <c r="I21" s="30"/>
      <c r="J21" s="30"/>
      <c r="K21" s="30" t="s">
        <v>481</v>
      </c>
      <c r="L21" s="2"/>
      <c r="M21" s="2"/>
      <c r="N21" s="2"/>
      <c r="O21" s="30" t="s">
        <v>160</v>
      </c>
      <c r="P21" s="30"/>
      <c r="Q21" s="2"/>
      <c r="R21" s="2"/>
      <c r="S21" s="4"/>
      <c r="T21" s="4"/>
    </row>
    <row r="22" spans="1:20" ht="27">
      <c r="A22" s="1">
        <v>21</v>
      </c>
      <c r="B22" s="1" t="s">
        <v>146</v>
      </c>
      <c r="C22" s="1" t="s">
        <v>560</v>
      </c>
      <c r="D22" s="1">
        <f t="shared" si="1"/>
        <v>11</v>
      </c>
      <c r="E22" s="1" t="str">
        <f t="shared" si="0"/>
        <v>SFR-002-011</v>
      </c>
      <c r="F22" s="4" t="s">
        <v>1067</v>
      </c>
      <c r="G22" s="2" t="s">
        <v>572</v>
      </c>
      <c r="H22" s="2"/>
      <c r="I22" s="30"/>
      <c r="J22" s="30"/>
      <c r="K22" s="30" t="s">
        <v>481</v>
      </c>
      <c r="L22" s="2"/>
      <c r="M22" s="2"/>
      <c r="N22" s="2"/>
      <c r="O22" s="30" t="s">
        <v>160</v>
      </c>
      <c r="P22" s="30"/>
      <c r="Q22" s="2"/>
      <c r="R22" s="2"/>
      <c r="S22" s="4"/>
      <c r="T22" s="4"/>
    </row>
    <row r="23" spans="1:20">
      <c r="A23" s="1">
        <v>22</v>
      </c>
      <c r="B23" s="1" t="s">
        <v>146</v>
      </c>
      <c r="C23" s="1" t="s">
        <v>560</v>
      </c>
      <c r="D23" s="1">
        <f t="shared" si="1"/>
        <v>12</v>
      </c>
      <c r="E23" s="1" t="str">
        <f t="shared" si="0"/>
        <v>SFR-002-012</v>
      </c>
      <c r="F23" s="4" t="s">
        <v>1067</v>
      </c>
      <c r="G23" s="2" t="s">
        <v>67</v>
      </c>
      <c r="H23" s="2"/>
      <c r="I23" s="30"/>
      <c r="J23" s="30"/>
      <c r="K23" s="30" t="s">
        <v>481</v>
      </c>
      <c r="L23" s="2"/>
      <c r="M23" s="2"/>
      <c r="N23" s="2"/>
      <c r="O23" s="30" t="s">
        <v>160</v>
      </c>
      <c r="P23" s="30"/>
      <c r="Q23" s="2"/>
      <c r="R23" s="2"/>
      <c r="S23" s="4"/>
      <c r="T23" s="4"/>
    </row>
    <row r="24" spans="1:20" ht="40.5">
      <c r="A24" s="1">
        <v>23</v>
      </c>
      <c r="B24" s="1" t="s">
        <v>146</v>
      </c>
      <c r="C24" s="1" t="s">
        <v>560</v>
      </c>
      <c r="D24" s="1">
        <f t="shared" si="1"/>
        <v>13</v>
      </c>
      <c r="E24" s="1" t="str">
        <f t="shared" si="0"/>
        <v>SFR-002-013</v>
      </c>
      <c r="F24" s="4" t="s">
        <v>1067</v>
      </c>
      <c r="G24" s="2" t="s">
        <v>262</v>
      </c>
      <c r="H24" s="2"/>
      <c r="I24" s="30"/>
      <c r="J24" s="30"/>
      <c r="K24" s="30" t="s">
        <v>481</v>
      </c>
      <c r="L24" s="2"/>
      <c r="M24" s="2"/>
      <c r="N24" s="2"/>
      <c r="O24" s="30" t="s">
        <v>160</v>
      </c>
      <c r="P24" s="30"/>
      <c r="Q24" s="2"/>
      <c r="R24" s="2"/>
      <c r="S24" s="4"/>
      <c r="T24" s="4"/>
    </row>
    <row r="25" spans="1:20">
      <c r="A25" s="1">
        <v>24</v>
      </c>
      <c r="B25" s="1" t="s">
        <v>146</v>
      </c>
      <c r="C25" s="1" t="s">
        <v>560</v>
      </c>
      <c r="D25" s="1">
        <f t="shared" si="1"/>
        <v>14</v>
      </c>
      <c r="E25" s="1" t="str">
        <f t="shared" si="0"/>
        <v>SFR-002-014</v>
      </c>
      <c r="F25" s="4" t="s">
        <v>1067</v>
      </c>
      <c r="G25" s="2" t="s">
        <v>54</v>
      </c>
      <c r="H25" s="2"/>
      <c r="I25" s="30"/>
      <c r="J25" s="30"/>
      <c r="K25" s="30" t="s">
        <v>481</v>
      </c>
      <c r="L25" s="2"/>
      <c r="M25" s="2"/>
      <c r="N25" s="2"/>
      <c r="O25" s="30" t="s">
        <v>160</v>
      </c>
      <c r="P25" s="30"/>
      <c r="Q25" s="2"/>
      <c r="R25" s="2"/>
      <c r="S25" s="4"/>
      <c r="T25" s="4"/>
    </row>
    <row r="26" spans="1:20" ht="27">
      <c r="A26" s="1">
        <v>25</v>
      </c>
      <c r="B26" s="1" t="s">
        <v>146</v>
      </c>
      <c r="C26" s="1" t="s">
        <v>560</v>
      </c>
      <c r="D26" s="1">
        <f t="shared" si="1"/>
        <v>15</v>
      </c>
      <c r="E26" s="1" t="str">
        <f t="shared" si="0"/>
        <v>SFR-002-015</v>
      </c>
      <c r="F26" s="4" t="s">
        <v>1067</v>
      </c>
      <c r="G26" s="2" t="s">
        <v>259</v>
      </c>
      <c r="H26" s="2"/>
      <c r="I26" s="30"/>
      <c r="J26" s="30"/>
      <c r="K26" s="30" t="s">
        <v>481</v>
      </c>
      <c r="L26" s="2"/>
      <c r="M26" s="2"/>
      <c r="N26" s="2"/>
      <c r="O26" s="30" t="s">
        <v>160</v>
      </c>
      <c r="P26" s="30"/>
      <c r="Q26" s="2"/>
      <c r="R26" s="2"/>
      <c r="S26" s="4"/>
      <c r="T26" s="4"/>
    </row>
    <row r="27" spans="1:20" ht="27">
      <c r="A27" s="1">
        <v>26</v>
      </c>
      <c r="B27" s="1" t="s">
        <v>146</v>
      </c>
      <c r="C27" s="1" t="s">
        <v>560</v>
      </c>
      <c r="D27" s="1">
        <f t="shared" si="1"/>
        <v>16</v>
      </c>
      <c r="E27" s="1" t="str">
        <f t="shared" si="0"/>
        <v>SFR-002-016</v>
      </c>
      <c r="F27" s="4" t="s">
        <v>1067</v>
      </c>
      <c r="G27" s="2" t="s">
        <v>601</v>
      </c>
      <c r="H27" s="2"/>
      <c r="I27" s="30"/>
      <c r="J27" s="30"/>
      <c r="K27" s="30" t="s">
        <v>481</v>
      </c>
      <c r="L27" s="2"/>
      <c r="M27" s="2"/>
      <c r="N27" s="2"/>
      <c r="O27" s="30" t="s">
        <v>160</v>
      </c>
      <c r="P27" s="30"/>
      <c r="Q27" s="2"/>
      <c r="R27" s="2"/>
      <c r="S27" s="4"/>
      <c r="T27" s="4"/>
    </row>
    <row r="28" spans="1:20" ht="27">
      <c r="A28" s="1">
        <v>27</v>
      </c>
      <c r="B28" s="1" t="s">
        <v>146</v>
      </c>
      <c r="C28" s="1" t="s">
        <v>560</v>
      </c>
      <c r="D28" s="1">
        <f t="shared" si="1"/>
        <v>17</v>
      </c>
      <c r="E28" s="1" t="str">
        <f t="shared" si="0"/>
        <v>SFR-002-017</v>
      </c>
      <c r="F28" s="4" t="s">
        <v>1067</v>
      </c>
      <c r="G28" s="2" t="s">
        <v>302</v>
      </c>
      <c r="H28" s="2"/>
      <c r="I28" s="30"/>
      <c r="J28" s="30"/>
      <c r="K28" s="30" t="s">
        <v>481</v>
      </c>
      <c r="L28" s="2"/>
      <c r="M28" s="2"/>
      <c r="N28" s="2"/>
      <c r="O28" s="30" t="s">
        <v>160</v>
      </c>
      <c r="P28" s="30"/>
      <c r="Q28" s="2"/>
      <c r="R28" s="2"/>
      <c r="S28" s="4"/>
      <c r="T28" s="4"/>
    </row>
    <row r="29" spans="1:20" ht="27">
      <c r="A29" s="1">
        <v>28</v>
      </c>
      <c r="B29" s="1" t="s">
        <v>146</v>
      </c>
      <c r="C29" s="1" t="s">
        <v>560</v>
      </c>
      <c r="D29" s="1">
        <f t="shared" si="1"/>
        <v>18</v>
      </c>
      <c r="E29" s="1" t="str">
        <f t="shared" si="0"/>
        <v>SFR-002-018</v>
      </c>
      <c r="F29" s="4" t="s">
        <v>1067</v>
      </c>
      <c r="G29" s="2" t="s">
        <v>621</v>
      </c>
      <c r="H29" s="2"/>
      <c r="I29" s="30"/>
      <c r="J29" s="30"/>
      <c r="K29" s="30" t="s">
        <v>481</v>
      </c>
      <c r="L29" s="2"/>
      <c r="M29" s="2"/>
      <c r="N29" s="2"/>
      <c r="O29" s="30" t="s">
        <v>160</v>
      </c>
      <c r="P29" s="30"/>
      <c r="Q29" s="2"/>
      <c r="R29" s="2"/>
      <c r="S29" s="4"/>
      <c r="T29" s="4"/>
    </row>
    <row r="30" spans="1:20">
      <c r="A30" s="1">
        <v>29</v>
      </c>
      <c r="B30" s="1" t="s">
        <v>146</v>
      </c>
      <c r="C30" s="1" t="s">
        <v>560</v>
      </c>
      <c r="D30" s="1">
        <f t="shared" si="1"/>
        <v>19</v>
      </c>
      <c r="E30" s="1" t="str">
        <f t="shared" si="0"/>
        <v>SFR-002-019</v>
      </c>
      <c r="F30" s="4" t="s">
        <v>1067</v>
      </c>
      <c r="G30" s="2" t="s">
        <v>732</v>
      </c>
      <c r="H30" s="2"/>
      <c r="I30" s="30"/>
      <c r="J30" s="30"/>
      <c r="K30" s="30" t="s">
        <v>481</v>
      </c>
      <c r="L30" s="2"/>
      <c r="M30" s="2"/>
      <c r="N30" s="2"/>
      <c r="O30" s="30" t="s">
        <v>160</v>
      </c>
      <c r="P30" s="30"/>
      <c r="Q30" s="2"/>
      <c r="R30" s="2"/>
      <c r="S30" s="4"/>
      <c r="T30" s="4"/>
    </row>
    <row r="31" spans="1:20" ht="27">
      <c r="A31" s="1">
        <v>30</v>
      </c>
      <c r="B31" s="1" t="s">
        <v>146</v>
      </c>
      <c r="C31" s="1" t="s">
        <v>523</v>
      </c>
      <c r="D31" s="1">
        <f t="shared" si="1"/>
        <v>1</v>
      </c>
      <c r="E31" s="1" t="str">
        <f t="shared" si="0"/>
        <v>SFR-004-001</v>
      </c>
      <c r="F31" s="4" t="s">
        <v>548</v>
      </c>
      <c r="G31" s="2" t="s">
        <v>15</v>
      </c>
      <c r="H31" s="2" t="s">
        <v>97</v>
      </c>
      <c r="I31" s="30">
        <v>10</v>
      </c>
      <c r="J31" s="33" t="s">
        <v>139</v>
      </c>
      <c r="K31" s="30" t="s">
        <v>479</v>
      </c>
      <c r="L31" s="2"/>
      <c r="M31" s="2"/>
      <c r="N31" s="2"/>
      <c r="O31" s="30" t="s">
        <v>160</v>
      </c>
      <c r="P31" s="30"/>
      <c r="Q31" s="2"/>
      <c r="R31" s="2"/>
      <c r="S31" s="4" t="s">
        <v>943</v>
      </c>
      <c r="T31" s="4" t="s">
        <v>116</v>
      </c>
    </row>
    <row r="32" spans="1:20" ht="27">
      <c r="A32" s="1">
        <v>31</v>
      </c>
      <c r="B32" s="1" t="s">
        <v>146</v>
      </c>
      <c r="C32" s="1" t="s">
        <v>523</v>
      </c>
      <c r="D32" s="1">
        <f t="shared" si="1"/>
        <v>2</v>
      </c>
      <c r="E32" s="1" t="str">
        <f t="shared" si="0"/>
        <v>SFR-004-002</v>
      </c>
      <c r="F32" s="4" t="s">
        <v>548</v>
      </c>
      <c r="G32" s="2" t="s">
        <v>165</v>
      </c>
      <c r="H32" s="2" t="s">
        <v>599</v>
      </c>
      <c r="I32" s="30"/>
      <c r="J32" s="30"/>
      <c r="K32" s="30" t="s">
        <v>481</v>
      </c>
      <c r="L32" s="2"/>
      <c r="M32" s="2"/>
      <c r="N32" s="2"/>
      <c r="O32" s="30" t="s">
        <v>160</v>
      </c>
      <c r="P32" s="30"/>
      <c r="Q32" s="2"/>
      <c r="R32" s="2" t="s">
        <v>117</v>
      </c>
      <c r="S32" s="4"/>
      <c r="T32" s="4"/>
    </row>
    <row r="33" spans="1:20" ht="27">
      <c r="A33" s="1">
        <v>32</v>
      </c>
      <c r="B33" s="1" t="s">
        <v>146</v>
      </c>
      <c r="C33" s="1" t="s">
        <v>523</v>
      </c>
      <c r="D33" s="1">
        <f t="shared" si="1"/>
        <v>3</v>
      </c>
      <c r="E33" s="1" t="str">
        <f t="shared" si="0"/>
        <v>SFR-004-003</v>
      </c>
      <c r="F33" s="4" t="s">
        <v>548</v>
      </c>
      <c r="G33" s="2" t="s">
        <v>165</v>
      </c>
      <c r="H33" s="2" t="s">
        <v>589</v>
      </c>
      <c r="I33" s="30"/>
      <c r="J33" s="30"/>
      <c r="K33" s="30" t="s">
        <v>481</v>
      </c>
      <c r="L33" s="2"/>
      <c r="M33" s="2"/>
      <c r="N33" s="2"/>
      <c r="O33" s="30" t="s">
        <v>160</v>
      </c>
      <c r="P33" s="30"/>
      <c r="Q33" s="2"/>
      <c r="R33" s="2"/>
      <c r="S33" s="4"/>
      <c r="T33" s="4"/>
    </row>
    <row r="34" spans="1:20" ht="67.5">
      <c r="A34" s="1">
        <v>33</v>
      </c>
      <c r="B34" s="1" t="s">
        <v>146</v>
      </c>
      <c r="C34" s="1" t="s">
        <v>523</v>
      </c>
      <c r="D34" s="1">
        <f t="shared" si="1"/>
        <v>4</v>
      </c>
      <c r="E34" s="1" t="str">
        <f t="shared" si="0"/>
        <v>SFR-004-004</v>
      </c>
      <c r="F34" s="4" t="s">
        <v>548</v>
      </c>
      <c r="G34" s="2" t="s">
        <v>165</v>
      </c>
      <c r="H34" s="2" t="s">
        <v>195</v>
      </c>
      <c r="I34" s="30">
        <v>10</v>
      </c>
      <c r="J34" s="32" t="s">
        <v>145</v>
      </c>
      <c r="K34" s="30" t="s">
        <v>479</v>
      </c>
      <c r="L34" s="2" t="s">
        <v>658</v>
      </c>
      <c r="M34" s="2"/>
      <c r="N34" s="2"/>
      <c r="O34" s="30" t="s">
        <v>160</v>
      </c>
      <c r="P34" s="30"/>
      <c r="Q34" s="2"/>
      <c r="R34" s="2"/>
      <c r="S34" s="4"/>
      <c r="T34" s="4"/>
    </row>
    <row r="35" spans="1:20" ht="40.5">
      <c r="A35" s="1">
        <v>34</v>
      </c>
      <c r="B35" s="1" t="s">
        <v>146</v>
      </c>
      <c r="C35" s="1" t="s">
        <v>523</v>
      </c>
      <c r="D35" s="1">
        <f t="shared" si="1"/>
        <v>5</v>
      </c>
      <c r="E35" s="1" t="str">
        <f t="shared" si="0"/>
        <v>SFR-004-005</v>
      </c>
      <c r="F35" s="4" t="s">
        <v>548</v>
      </c>
      <c r="G35" s="2" t="s">
        <v>165</v>
      </c>
      <c r="H35" s="36" t="s">
        <v>655</v>
      </c>
      <c r="I35" s="30"/>
      <c r="J35" s="30"/>
      <c r="K35" s="30" t="s">
        <v>481</v>
      </c>
      <c r="L35" s="2"/>
      <c r="M35" s="2"/>
      <c r="N35" s="2"/>
      <c r="O35" s="30" t="s">
        <v>160</v>
      </c>
      <c r="P35" s="30"/>
      <c r="Q35" s="2"/>
      <c r="R35" s="2"/>
      <c r="S35" s="4"/>
      <c r="T35" s="4"/>
    </row>
    <row r="36" spans="1:20" ht="40.5">
      <c r="A36" s="1">
        <v>35</v>
      </c>
      <c r="B36" s="1" t="s">
        <v>146</v>
      </c>
      <c r="C36" s="1" t="s">
        <v>523</v>
      </c>
      <c r="D36" s="1">
        <f t="shared" si="1"/>
        <v>6</v>
      </c>
      <c r="E36" s="1" t="str">
        <f t="shared" si="0"/>
        <v>SFR-004-006</v>
      </c>
      <c r="F36" s="4" t="s">
        <v>548</v>
      </c>
      <c r="G36" s="2" t="s">
        <v>424</v>
      </c>
      <c r="H36" s="36" t="s">
        <v>654</v>
      </c>
      <c r="I36" s="30">
        <v>10</v>
      </c>
      <c r="J36" s="34" t="s">
        <v>147</v>
      </c>
      <c r="K36" s="30" t="s">
        <v>479</v>
      </c>
      <c r="L36" s="2" t="s">
        <v>516</v>
      </c>
      <c r="M36" s="2"/>
      <c r="N36" s="2"/>
      <c r="O36" s="30" t="s">
        <v>160</v>
      </c>
      <c r="P36" s="30"/>
      <c r="Q36" s="2"/>
      <c r="R36" s="2" t="s">
        <v>62</v>
      </c>
      <c r="S36" s="4"/>
      <c r="T36" s="4"/>
    </row>
    <row r="37" spans="1:20" ht="40.5">
      <c r="A37" s="1">
        <v>36</v>
      </c>
      <c r="B37" s="1" t="s">
        <v>146</v>
      </c>
      <c r="C37" s="1" t="s">
        <v>523</v>
      </c>
      <c r="D37" s="1">
        <f t="shared" si="1"/>
        <v>7</v>
      </c>
      <c r="E37" s="1" t="str">
        <f t="shared" si="0"/>
        <v>SFR-004-007</v>
      </c>
      <c r="F37" s="4" t="s">
        <v>548</v>
      </c>
      <c r="G37" s="36" t="s">
        <v>657</v>
      </c>
      <c r="H37" s="2" t="s">
        <v>8</v>
      </c>
      <c r="I37" s="30"/>
      <c r="J37" s="30"/>
      <c r="K37" s="30" t="s">
        <v>481</v>
      </c>
      <c r="L37" s="2"/>
      <c r="M37" s="2"/>
      <c r="N37" s="2"/>
      <c r="O37" s="30" t="s">
        <v>160</v>
      </c>
      <c r="P37" s="30"/>
      <c r="Q37" s="2"/>
      <c r="R37" s="6" t="s">
        <v>106</v>
      </c>
      <c r="S37" s="4"/>
      <c r="T37" s="4"/>
    </row>
    <row r="38" spans="1:20" ht="40.5">
      <c r="A38" s="1">
        <v>37</v>
      </c>
      <c r="B38" s="1" t="s">
        <v>146</v>
      </c>
      <c r="C38" s="1" t="s">
        <v>523</v>
      </c>
      <c r="D38" s="1">
        <f t="shared" si="1"/>
        <v>8</v>
      </c>
      <c r="E38" s="1" t="str">
        <f t="shared" si="0"/>
        <v>SFR-004-008</v>
      </c>
      <c r="F38" s="4" t="s">
        <v>548</v>
      </c>
      <c r="G38" s="2" t="s">
        <v>657</v>
      </c>
      <c r="H38" s="2" t="s">
        <v>59</v>
      </c>
      <c r="I38" s="30"/>
      <c r="J38" s="30"/>
      <c r="K38" s="30" t="s">
        <v>481</v>
      </c>
      <c r="L38" s="2"/>
      <c r="M38" s="2"/>
      <c r="N38" s="2"/>
      <c r="O38" s="30" t="s">
        <v>160</v>
      </c>
      <c r="P38" s="30"/>
      <c r="Q38" s="2"/>
      <c r="R38" s="6"/>
      <c r="S38" s="4"/>
      <c r="T38" s="4"/>
    </row>
    <row r="39" spans="1:20" ht="40.5">
      <c r="A39" s="1">
        <v>38</v>
      </c>
      <c r="B39" s="1" t="s">
        <v>146</v>
      </c>
      <c r="C39" s="1" t="s">
        <v>529</v>
      </c>
      <c r="D39" s="1">
        <f t="shared" si="1"/>
        <v>1</v>
      </c>
      <c r="E39" s="1" t="str">
        <f t="shared" si="0"/>
        <v>SFR-005-001</v>
      </c>
      <c r="F39" s="4" t="s">
        <v>1063</v>
      </c>
      <c r="G39" s="2" t="s">
        <v>7</v>
      </c>
      <c r="H39" s="2" t="s">
        <v>199</v>
      </c>
      <c r="I39" s="30"/>
      <c r="J39" s="30"/>
      <c r="K39" s="30" t="s">
        <v>481</v>
      </c>
      <c r="L39" s="2"/>
      <c r="M39" s="2"/>
      <c r="N39" s="2"/>
      <c r="O39" s="30" t="s">
        <v>160</v>
      </c>
      <c r="P39" s="30"/>
      <c r="Q39" s="2"/>
      <c r="R39" s="2" t="s">
        <v>495</v>
      </c>
      <c r="S39" s="4" t="s">
        <v>627</v>
      </c>
      <c r="T39" s="4"/>
    </row>
    <row r="40" spans="1:20" ht="40.5">
      <c r="A40" s="1">
        <v>39</v>
      </c>
      <c r="B40" s="1" t="s">
        <v>146</v>
      </c>
      <c r="C40" s="1" t="s">
        <v>529</v>
      </c>
      <c r="D40" s="1">
        <f t="shared" si="1"/>
        <v>2</v>
      </c>
      <c r="E40" s="1" t="str">
        <f t="shared" si="0"/>
        <v>SFR-005-002</v>
      </c>
      <c r="F40" s="4" t="s">
        <v>1063</v>
      </c>
      <c r="G40" s="2" t="s">
        <v>7</v>
      </c>
      <c r="H40" s="2" t="s">
        <v>183</v>
      </c>
      <c r="I40" s="30"/>
      <c r="J40" s="30"/>
      <c r="K40" s="30" t="s">
        <v>481</v>
      </c>
      <c r="L40" s="2"/>
      <c r="M40" s="2"/>
      <c r="N40" s="2"/>
      <c r="O40" s="30" t="s">
        <v>160</v>
      </c>
      <c r="P40" s="30"/>
      <c r="Q40" s="2"/>
      <c r="R40" s="2"/>
      <c r="S40" s="4"/>
      <c r="T40" s="4"/>
    </row>
    <row r="41" spans="1:20" ht="27">
      <c r="A41" s="1">
        <v>40</v>
      </c>
      <c r="B41" s="1" t="s">
        <v>146</v>
      </c>
      <c r="C41" s="1" t="s">
        <v>529</v>
      </c>
      <c r="D41" s="1">
        <f t="shared" si="1"/>
        <v>3</v>
      </c>
      <c r="E41" s="1" t="str">
        <f t="shared" si="0"/>
        <v>SFR-005-003</v>
      </c>
      <c r="F41" s="4" t="s">
        <v>1063</v>
      </c>
      <c r="G41" s="2" t="s">
        <v>7</v>
      </c>
      <c r="H41" s="2" t="s">
        <v>246</v>
      </c>
      <c r="I41" s="30"/>
      <c r="J41" s="30"/>
      <c r="K41" s="30" t="s">
        <v>481</v>
      </c>
      <c r="L41" s="2"/>
      <c r="M41" s="2"/>
      <c r="N41" s="2"/>
      <c r="O41" s="30" t="s">
        <v>160</v>
      </c>
      <c r="P41" s="30"/>
      <c r="Q41" s="2"/>
      <c r="R41" s="2"/>
      <c r="S41" s="4"/>
      <c r="T41" s="4"/>
    </row>
    <row r="42" spans="1:20" ht="67.5">
      <c r="A42" s="1">
        <v>41</v>
      </c>
      <c r="B42" s="1" t="s">
        <v>146</v>
      </c>
      <c r="C42" s="1" t="s">
        <v>529</v>
      </c>
      <c r="D42" s="1">
        <f t="shared" si="1"/>
        <v>4</v>
      </c>
      <c r="E42" s="1" t="str">
        <f t="shared" si="0"/>
        <v>SFR-005-004</v>
      </c>
      <c r="F42" s="4" t="s">
        <v>1063</v>
      </c>
      <c r="G42" s="36" t="s">
        <v>579</v>
      </c>
      <c r="H42" s="2"/>
      <c r="I42" s="30">
        <v>10</v>
      </c>
      <c r="J42" s="32" t="s">
        <v>144</v>
      </c>
      <c r="K42" s="30"/>
      <c r="L42" s="35" t="s">
        <v>381</v>
      </c>
      <c r="M42" s="2"/>
      <c r="N42" s="2"/>
      <c r="O42" s="30" t="s">
        <v>160</v>
      </c>
      <c r="P42" s="30"/>
      <c r="Q42" s="2"/>
      <c r="R42" s="2" t="s">
        <v>33</v>
      </c>
      <c r="S42" s="4"/>
      <c r="T42" s="4"/>
    </row>
    <row r="43" spans="1:20" ht="27">
      <c r="A43" s="1">
        <v>42</v>
      </c>
      <c r="B43" s="1" t="s">
        <v>146</v>
      </c>
      <c r="C43" s="1" t="s">
        <v>1053</v>
      </c>
      <c r="D43" s="1">
        <f t="shared" si="1"/>
        <v>1</v>
      </c>
      <c r="E43" s="1" t="str">
        <f t="shared" si="0"/>
        <v xml:space="preserve"> SFR-006-001</v>
      </c>
      <c r="F43" s="4" t="s">
        <v>663</v>
      </c>
      <c r="G43" s="2" t="s">
        <v>306</v>
      </c>
      <c r="H43" s="2" t="s">
        <v>30</v>
      </c>
      <c r="I43" s="30"/>
      <c r="J43" s="30"/>
      <c r="K43" s="30" t="s">
        <v>481</v>
      </c>
      <c r="L43" s="2"/>
      <c r="M43" s="2"/>
      <c r="N43" s="2"/>
      <c r="O43" s="30" t="s">
        <v>160</v>
      </c>
      <c r="P43" s="30"/>
      <c r="Q43" s="2"/>
      <c r="R43" s="2" t="s">
        <v>932</v>
      </c>
      <c r="S43" s="4" t="s">
        <v>300</v>
      </c>
      <c r="T43" s="4"/>
    </row>
    <row r="44" spans="1:20" ht="27">
      <c r="A44" s="1">
        <v>43</v>
      </c>
      <c r="B44" s="1" t="s">
        <v>146</v>
      </c>
      <c r="C44" s="1" t="s">
        <v>1053</v>
      </c>
      <c r="D44" s="1">
        <f t="shared" si="1"/>
        <v>2</v>
      </c>
      <c r="E44" s="1" t="str">
        <f t="shared" si="0"/>
        <v xml:space="preserve"> SFR-006-002</v>
      </c>
      <c r="F44" s="4" t="s">
        <v>663</v>
      </c>
      <c r="G44" s="2" t="s">
        <v>306</v>
      </c>
      <c r="H44" s="2" t="s">
        <v>214</v>
      </c>
      <c r="I44" s="30"/>
      <c r="J44" s="30"/>
      <c r="K44" s="30" t="s">
        <v>481</v>
      </c>
      <c r="L44" s="2"/>
      <c r="M44" s="2"/>
      <c r="N44" s="2"/>
      <c r="O44" s="30" t="s">
        <v>160</v>
      </c>
      <c r="P44" s="30"/>
      <c r="Q44" s="2"/>
      <c r="R44" s="2"/>
      <c r="S44" s="4"/>
      <c r="T44" s="4"/>
    </row>
    <row r="45" spans="1:20" ht="27">
      <c r="A45" s="1">
        <v>44</v>
      </c>
      <c r="B45" s="1" t="s">
        <v>146</v>
      </c>
      <c r="C45" s="1" t="s">
        <v>1053</v>
      </c>
      <c r="D45" s="1">
        <f t="shared" si="1"/>
        <v>3</v>
      </c>
      <c r="E45" s="1" t="str">
        <f t="shared" si="0"/>
        <v xml:space="preserve"> SFR-006-003</v>
      </c>
      <c r="F45" s="4" t="s">
        <v>663</v>
      </c>
      <c r="G45" s="2" t="s">
        <v>306</v>
      </c>
      <c r="H45" s="2" t="s">
        <v>411</v>
      </c>
      <c r="I45" s="30"/>
      <c r="J45" s="30"/>
      <c r="K45" s="30" t="s">
        <v>481</v>
      </c>
      <c r="L45" s="2"/>
      <c r="M45" s="2"/>
      <c r="N45" s="2"/>
      <c r="O45" s="30" t="s">
        <v>160</v>
      </c>
      <c r="P45" s="30"/>
      <c r="Q45" s="2"/>
      <c r="R45" s="2"/>
      <c r="S45" s="4"/>
      <c r="T45" s="4"/>
    </row>
    <row r="46" spans="1:20" ht="67.5">
      <c r="A46" s="1">
        <v>45</v>
      </c>
      <c r="B46" s="1" t="s">
        <v>146</v>
      </c>
      <c r="C46" s="1" t="s">
        <v>1053</v>
      </c>
      <c r="D46" s="1">
        <f t="shared" si="1"/>
        <v>4</v>
      </c>
      <c r="E46" s="1" t="str">
        <f t="shared" si="0"/>
        <v xml:space="preserve"> SFR-006-004</v>
      </c>
      <c r="F46" s="4" t="s">
        <v>663</v>
      </c>
      <c r="G46" s="2" t="s">
        <v>430</v>
      </c>
      <c r="H46" s="2" t="s">
        <v>20</v>
      </c>
      <c r="I46" s="30"/>
      <c r="J46" s="30"/>
      <c r="K46" s="30" t="s">
        <v>481</v>
      </c>
      <c r="L46" s="2"/>
      <c r="M46" s="2"/>
      <c r="N46" s="2"/>
      <c r="O46" s="30" t="s">
        <v>160</v>
      </c>
      <c r="P46" s="30"/>
      <c r="Q46" s="2"/>
      <c r="R46" s="2" t="s">
        <v>90</v>
      </c>
      <c r="S46" s="4" t="s">
        <v>1079</v>
      </c>
      <c r="T46" s="4"/>
    </row>
    <row r="47" spans="1:20" ht="40.5">
      <c r="A47" s="1">
        <v>46</v>
      </c>
      <c r="B47" s="1" t="s">
        <v>146</v>
      </c>
      <c r="C47" s="1" t="s">
        <v>1053</v>
      </c>
      <c r="D47" s="1">
        <f t="shared" si="1"/>
        <v>5</v>
      </c>
      <c r="E47" s="1" t="str">
        <f t="shared" si="0"/>
        <v xml:space="preserve"> SFR-006-005</v>
      </c>
      <c r="F47" s="4" t="s">
        <v>663</v>
      </c>
      <c r="G47" s="2" t="s">
        <v>430</v>
      </c>
      <c r="H47" s="2" t="s">
        <v>258</v>
      </c>
      <c r="I47" s="30"/>
      <c r="J47" s="30"/>
      <c r="K47" s="30" t="s">
        <v>481</v>
      </c>
      <c r="L47" s="2"/>
      <c r="M47" s="2"/>
      <c r="N47" s="2"/>
      <c r="O47" s="30" t="s">
        <v>160</v>
      </c>
      <c r="P47" s="30"/>
      <c r="Q47" s="2"/>
      <c r="R47" s="2"/>
      <c r="S47" s="4"/>
      <c r="T47" s="4"/>
    </row>
    <row r="48" spans="1:20" ht="40.5">
      <c r="A48" s="1">
        <v>47</v>
      </c>
      <c r="B48" s="1" t="s">
        <v>146</v>
      </c>
      <c r="C48" s="1" t="s">
        <v>542</v>
      </c>
      <c r="D48" s="1">
        <f t="shared" si="1"/>
        <v>1</v>
      </c>
      <c r="E48" s="1" t="str">
        <f t="shared" si="0"/>
        <v>SFR-007-001</v>
      </c>
      <c r="F48" s="4" t="s">
        <v>1052</v>
      </c>
      <c r="G48" s="2" t="s">
        <v>12</v>
      </c>
      <c r="H48" s="2" t="s">
        <v>400</v>
      </c>
      <c r="I48" s="30"/>
      <c r="J48" s="30"/>
      <c r="K48" s="30" t="s">
        <v>481</v>
      </c>
      <c r="L48" s="2"/>
      <c r="M48" s="2"/>
      <c r="N48" s="2"/>
      <c r="O48" s="30" t="s">
        <v>160</v>
      </c>
      <c r="P48" s="30"/>
      <c r="Q48" s="2"/>
      <c r="R48" s="2" t="s">
        <v>362</v>
      </c>
      <c r="S48" s="4" t="s">
        <v>1079</v>
      </c>
      <c r="T48" s="4"/>
    </row>
    <row r="49" spans="1:20" ht="27">
      <c r="A49" s="1">
        <v>48</v>
      </c>
      <c r="B49" s="1" t="s">
        <v>146</v>
      </c>
      <c r="C49" s="1" t="s">
        <v>542</v>
      </c>
      <c r="D49" s="1">
        <f t="shared" si="1"/>
        <v>2</v>
      </c>
      <c r="E49" s="1" t="str">
        <f t="shared" si="0"/>
        <v>SFR-007-002</v>
      </c>
      <c r="F49" s="4" t="s">
        <v>1052</v>
      </c>
      <c r="G49" s="2" t="s">
        <v>12</v>
      </c>
      <c r="H49" s="36" t="s">
        <v>225</v>
      </c>
      <c r="I49" s="30">
        <v>10</v>
      </c>
      <c r="J49" s="32" t="s">
        <v>151</v>
      </c>
      <c r="K49" s="30" t="s">
        <v>479</v>
      </c>
      <c r="L49" s="2"/>
      <c r="M49" s="2"/>
      <c r="N49" s="2"/>
      <c r="O49" s="30" t="s">
        <v>160</v>
      </c>
      <c r="P49" s="30"/>
      <c r="Q49" s="2"/>
      <c r="R49" s="2"/>
      <c r="S49" s="4"/>
      <c r="T49" s="4"/>
    </row>
    <row r="50" spans="1:20" ht="40.5">
      <c r="A50" s="1">
        <v>49</v>
      </c>
      <c r="B50" s="1" t="s">
        <v>146</v>
      </c>
      <c r="C50" s="1" t="s">
        <v>542</v>
      </c>
      <c r="D50" s="1">
        <f t="shared" si="1"/>
        <v>3</v>
      </c>
      <c r="E50" s="1" t="str">
        <f t="shared" si="0"/>
        <v>SFR-007-003</v>
      </c>
      <c r="F50" s="4" t="s">
        <v>1052</v>
      </c>
      <c r="G50" s="2" t="s">
        <v>12</v>
      </c>
      <c r="H50" s="36" t="s">
        <v>19</v>
      </c>
      <c r="I50" s="30"/>
      <c r="J50" s="30"/>
      <c r="K50" s="30" t="s">
        <v>481</v>
      </c>
      <c r="L50" s="2"/>
      <c r="M50" s="2"/>
      <c r="N50" s="2"/>
      <c r="O50" s="30" t="s">
        <v>160</v>
      </c>
      <c r="P50" s="30"/>
      <c r="Q50" s="2"/>
      <c r="R50" s="2"/>
      <c r="S50" s="4"/>
      <c r="T50" s="4"/>
    </row>
    <row r="51" spans="1:20" ht="67.5">
      <c r="A51" s="1">
        <v>50</v>
      </c>
      <c r="B51" s="1" t="s">
        <v>146</v>
      </c>
      <c r="C51" s="1" t="s">
        <v>542</v>
      </c>
      <c r="D51" s="1">
        <f t="shared" si="1"/>
        <v>4</v>
      </c>
      <c r="E51" s="1" t="str">
        <f t="shared" si="0"/>
        <v>SFR-007-004</v>
      </c>
      <c r="F51" s="4" t="s">
        <v>1052</v>
      </c>
      <c r="G51" s="2" t="s">
        <v>12</v>
      </c>
      <c r="H51" s="2" t="s">
        <v>34</v>
      </c>
      <c r="I51" s="30"/>
      <c r="J51" s="30"/>
      <c r="K51" s="30" t="s">
        <v>481</v>
      </c>
      <c r="L51" s="2"/>
      <c r="M51" s="2"/>
      <c r="N51" s="2"/>
      <c r="O51" s="30" t="s">
        <v>160</v>
      </c>
      <c r="P51" s="30"/>
      <c r="Q51" s="2"/>
      <c r="R51" s="2"/>
      <c r="S51" s="4"/>
      <c r="T51" s="4"/>
    </row>
    <row r="52" spans="1:20" ht="27">
      <c r="A52" s="1">
        <v>51</v>
      </c>
      <c r="B52" s="1" t="s">
        <v>146</v>
      </c>
      <c r="C52" s="1" t="s">
        <v>542</v>
      </c>
      <c r="D52" s="1">
        <f t="shared" si="1"/>
        <v>5</v>
      </c>
      <c r="E52" s="1" t="str">
        <f t="shared" si="0"/>
        <v>SFR-007-005</v>
      </c>
      <c r="F52" s="4" t="s">
        <v>1052</v>
      </c>
      <c r="G52" s="2" t="s">
        <v>12</v>
      </c>
      <c r="H52" s="36" t="s">
        <v>352</v>
      </c>
      <c r="I52" s="30"/>
      <c r="J52" s="30"/>
      <c r="K52" s="30" t="s">
        <v>481</v>
      </c>
      <c r="L52" s="2"/>
      <c r="M52" s="2"/>
      <c r="N52" s="2"/>
      <c r="O52" s="30" t="s">
        <v>160</v>
      </c>
      <c r="P52" s="30"/>
      <c r="Q52" s="2"/>
      <c r="R52" s="2"/>
      <c r="S52" s="4"/>
      <c r="T52" s="4"/>
    </row>
    <row r="53" spans="1:20" ht="27">
      <c r="A53" s="1">
        <v>52</v>
      </c>
      <c r="B53" s="1" t="s">
        <v>146</v>
      </c>
      <c r="C53" s="1" t="s">
        <v>542</v>
      </c>
      <c r="D53" s="1">
        <f t="shared" si="1"/>
        <v>6</v>
      </c>
      <c r="E53" s="1" t="str">
        <f t="shared" si="0"/>
        <v>SFR-007-006</v>
      </c>
      <c r="F53" s="4" t="s">
        <v>1052</v>
      </c>
      <c r="G53" s="2" t="s">
        <v>12</v>
      </c>
      <c r="H53" s="2" t="s">
        <v>722</v>
      </c>
      <c r="I53" s="30"/>
      <c r="J53" s="30"/>
      <c r="K53" s="30" t="s">
        <v>481</v>
      </c>
      <c r="L53" s="2"/>
      <c r="M53" s="2"/>
      <c r="N53" s="2"/>
      <c r="O53" s="30" t="s">
        <v>160</v>
      </c>
      <c r="P53" s="30"/>
      <c r="Q53" s="2"/>
      <c r="R53" s="2"/>
      <c r="S53" s="4"/>
      <c r="T53" s="4"/>
    </row>
    <row r="54" spans="1:20" ht="27">
      <c r="A54" s="1">
        <v>53</v>
      </c>
      <c r="B54" s="1" t="s">
        <v>146</v>
      </c>
      <c r="C54" s="1" t="s">
        <v>542</v>
      </c>
      <c r="D54" s="1">
        <f t="shared" si="1"/>
        <v>7</v>
      </c>
      <c r="E54" s="1" t="str">
        <f t="shared" si="0"/>
        <v>SFR-007-007</v>
      </c>
      <c r="F54" s="4" t="s">
        <v>1052</v>
      </c>
      <c r="G54" s="2" t="s">
        <v>12</v>
      </c>
      <c r="H54" s="2" t="s">
        <v>594</v>
      </c>
      <c r="I54" s="30">
        <v>10</v>
      </c>
      <c r="J54" s="32" t="s">
        <v>140</v>
      </c>
      <c r="K54" s="30" t="s">
        <v>479</v>
      </c>
      <c r="L54" s="2"/>
      <c r="M54" s="2"/>
      <c r="N54" s="2"/>
      <c r="O54" s="30" t="s">
        <v>160</v>
      </c>
      <c r="P54" s="30"/>
      <c r="Q54" s="2"/>
      <c r="R54" s="2"/>
      <c r="S54" s="4"/>
      <c r="T54" s="4"/>
    </row>
    <row r="55" spans="1:20" ht="27">
      <c r="A55" s="1">
        <v>54</v>
      </c>
      <c r="B55" s="1" t="s">
        <v>146</v>
      </c>
      <c r="C55" s="1" t="s">
        <v>542</v>
      </c>
      <c r="D55" s="1">
        <f t="shared" si="1"/>
        <v>8</v>
      </c>
      <c r="E55" s="1" t="str">
        <f t="shared" si="0"/>
        <v>SFR-007-008</v>
      </c>
      <c r="F55" s="4" t="s">
        <v>1052</v>
      </c>
      <c r="G55" s="36" t="s">
        <v>269</v>
      </c>
      <c r="H55" s="2"/>
      <c r="I55" s="30"/>
      <c r="J55" s="30"/>
      <c r="K55" s="30" t="s">
        <v>481</v>
      </c>
      <c r="L55" s="2"/>
      <c r="M55" s="2"/>
      <c r="N55" s="2"/>
      <c r="O55" s="30" t="s">
        <v>160</v>
      </c>
      <c r="P55" s="30"/>
      <c r="Q55" s="2"/>
      <c r="R55" s="2"/>
      <c r="S55" s="4"/>
      <c r="T55" s="4"/>
    </row>
    <row r="56" spans="1:20" ht="40.5">
      <c r="A56" s="1">
        <v>55</v>
      </c>
      <c r="B56" s="1" t="s">
        <v>532</v>
      </c>
      <c r="C56" s="1" t="s">
        <v>535</v>
      </c>
      <c r="D56" s="1">
        <f t="shared" si="1"/>
        <v>1</v>
      </c>
      <c r="E56" s="1" t="str">
        <f t="shared" si="0"/>
        <v>SFR-008-001</v>
      </c>
      <c r="F56" s="4" t="s">
        <v>1048</v>
      </c>
      <c r="G56" s="2" t="s">
        <v>304</v>
      </c>
      <c r="H56" s="2" t="s">
        <v>656</v>
      </c>
      <c r="I56" s="30"/>
      <c r="J56" s="30"/>
      <c r="K56" s="30" t="s">
        <v>481</v>
      </c>
      <c r="L56" s="2"/>
      <c r="M56" s="2"/>
      <c r="N56" s="2"/>
      <c r="O56" s="30" t="s">
        <v>160</v>
      </c>
      <c r="P56" s="30"/>
      <c r="Q56" s="2"/>
      <c r="R56" s="2" t="s">
        <v>77</v>
      </c>
      <c r="S56" s="4" t="s">
        <v>694</v>
      </c>
      <c r="T56" s="4" t="s">
        <v>453</v>
      </c>
    </row>
    <row r="57" spans="1:20" ht="27">
      <c r="A57" s="1">
        <v>56</v>
      </c>
      <c r="B57" s="1" t="s">
        <v>532</v>
      </c>
      <c r="C57" s="1" t="s">
        <v>535</v>
      </c>
      <c r="D57" s="1">
        <f t="shared" si="1"/>
        <v>2</v>
      </c>
      <c r="E57" s="1" t="str">
        <f t="shared" si="0"/>
        <v>SFR-008-002</v>
      </c>
      <c r="F57" s="4" t="s">
        <v>1048</v>
      </c>
      <c r="G57" s="2" t="s">
        <v>304</v>
      </c>
      <c r="H57" s="36" t="s">
        <v>204</v>
      </c>
      <c r="I57" s="30"/>
      <c r="J57" s="30"/>
      <c r="K57" s="30" t="s">
        <v>481</v>
      </c>
      <c r="L57" s="2"/>
      <c r="M57" s="2"/>
      <c r="N57" s="2"/>
      <c r="O57" s="30" t="s">
        <v>160</v>
      </c>
      <c r="P57" s="30"/>
      <c r="Q57" s="2"/>
      <c r="R57" s="2"/>
      <c r="S57" s="4"/>
      <c r="T57" s="4"/>
    </row>
    <row r="58" spans="1:20" ht="27">
      <c r="A58" s="1">
        <v>57</v>
      </c>
      <c r="B58" s="1" t="s">
        <v>532</v>
      </c>
      <c r="C58" s="1" t="s">
        <v>535</v>
      </c>
      <c r="D58" s="1">
        <f t="shared" si="1"/>
        <v>3</v>
      </c>
      <c r="E58" s="1" t="str">
        <f t="shared" si="0"/>
        <v>SFR-008-003</v>
      </c>
      <c r="F58" s="4" t="s">
        <v>1048</v>
      </c>
      <c r="G58" s="2" t="s">
        <v>304</v>
      </c>
      <c r="H58" s="36" t="s">
        <v>163</v>
      </c>
      <c r="I58" s="30">
        <v>10</v>
      </c>
      <c r="J58" s="32" t="s">
        <v>155</v>
      </c>
      <c r="K58" s="30" t="s">
        <v>479</v>
      </c>
      <c r="L58" s="2"/>
      <c r="M58" s="2"/>
      <c r="N58" s="2"/>
      <c r="O58" s="30" t="s">
        <v>160</v>
      </c>
      <c r="P58" s="30"/>
      <c r="Q58" s="2"/>
      <c r="R58" s="2"/>
      <c r="S58" s="4"/>
      <c r="T58" s="4"/>
    </row>
    <row r="59" spans="1:20" ht="148.5">
      <c r="A59" s="1">
        <v>58</v>
      </c>
      <c r="B59" s="1" t="s">
        <v>532</v>
      </c>
      <c r="C59" s="1" t="s">
        <v>535</v>
      </c>
      <c r="D59" s="1">
        <f t="shared" si="1"/>
        <v>4</v>
      </c>
      <c r="E59" s="1" t="str">
        <f t="shared" si="0"/>
        <v>SFR-008-004</v>
      </c>
      <c r="F59" s="4" t="s">
        <v>1048</v>
      </c>
      <c r="G59" s="2" t="s">
        <v>420</v>
      </c>
      <c r="H59" s="2" t="s">
        <v>319</v>
      </c>
      <c r="I59" s="30">
        <v>10</v>
      </c>
      <c r="J59" s="32" t="s">
        <v>136</v>
      </c>
      <c r="K59" s="30"/>
      <c r="L59" s="2"/>
      <c r="M59" s="2"/>
      <c r="N59" s="2"/>
      <c r="O59" s="30" t="s">
        <v>160</v>
      </c>
      <c r="P59" s="30"/>
      <c r="Q59" s="2"/>
      <c r="R59" s="2" t="s">
        <v>251</v>
      </c>
      <c r="S59" s="4"/>
      <c r="T59" s="4"/>
    </row>
    <row r="60" spans="1:20" ht="67.5">
      <c r="A60" s="1">
        <v>59</v>
      </c>
      <c r="B60" s="1" t="s">
        <v>532</v>
      </c>
      <c r="C60" s="1" t="s">
        <v>535</v>
      </c>
      <c r="D60" s="1">
        <f t="shared" si="1"/>
        <v>5</v>
      </c>
      <c r="E60" s="1" t="str">
        <f t="shared" si="0"/>
        <v>SFR-008-005</v>
      </c>
      <c r="F60" s="4" t="s">
        <v>1048</v>
      </c>
      <c r="G60" s="2" t="s">
        <v>420</v>
      </c>
      <c r="H60" s="2" t="s">
        <v>104</v>
      </c>
      <c r="I60" s="30">
        <v>10</v>
      </c>
      <c r="J60" s="32" t="s">
        <v>149</v>
      </c>
      <c r="K60" s="30"/>
      <c r="L60" s="2"/>
      <c r="M60" s="2"/>
      <c r="N60" s="2"/>
      <c r="O60" s="30" t="s">
        <v>160</v>
      </c>
      <c r="P60" s="30"/>
      <c r="Q60" s="2"/>
      <c r="R60" s="2"/>
      <c r="S60" s="4"/>
      <c r="T60" s="4"/>
    </row>
    <row r="61" spans="1:20" ht="27">
      <c r="A61" s="1">
        <v>60</v>
      </c>
      <c r="B61" s="1" t="s">
        <v>532</v>
      </c>
      <c r="C61" s="1" t="s">
        <v>535</v>
      </c>
      <c r="D61" s="1">
        <f t="shared" si="1"/>
        <v>6</v>
      </c>
      <c r="E61" s="1" t="str">
        <f t="shared" si="0"/>
        <v>SFR-008-006</v>
      </c>
      <c r="F61" s="4" t="s">
        <v>1048</v>
      </c>
      <c r="G61" s="2" t="s">
        <v>420</v>
      </c>
      <c r="H61" s="2" t="s">
        <v>169</v>
      </c>
      <c r="I61" s="30">
        <v>10</v>
      </c>
      <c r="J61" s="32" t="s">
        <v>507</v>
      </c>
      <c r="K61" s="30"/>
      <c r="L61" s="2"/>
      <c r="M61" s="2"/>
      <c r="N61" s="2"/>
      <c r="O61" s="30" t="s">
        <v>160</v>
      </c>
      <c r="P61" s="30"/>
      <c r="Q61" s="2"/>
      <c r="R61" s="2"/>
      <c r="S61" s="4"/>
      <c r="T61" s="4"/>
    </row>
    <row r="62" spans="1:20" ht="27">
      <c r="A62" s="1">
        <v>61</v>
      </c>
      <c r="B62" s="1" t="s">
        <v>532</v>
      </c>
      <c r="C62" s="1" t="s">
        <v>535</v>
      </c>
      <c r="D62" s="1">
        <f t="shared" si="1"/>
        <v>7</v>
      </c>
      <c r="E62" s="1" t="str">
        <f t="shared" si="0"/>
        <v>SFR-008-007</v>
      </c>
      <c r="F62" s="4" t="s">
        <v>1048</v>
      </c>
      <c r="G62" s="2" t="s">
        <v>420</v>
      </c>
      <c r="H62" s="36" t="s">
        <v>295</v>
      </c>
      <c r="I62" s="30">
        <v>10</v>
      </c>
      <c r="J62" s="30">
        <v>1.1100000000000001</v>
      </c>
      <c r="K62" s="30"/>
      <c r="L62" s="2"/>
      <c r="M62" s="2"/>
      <c r="N62" s="2"/>
      <c r="O62" s="30" t="s">
        <v>160</v>
      </c>
      <c r="P62" s="30"/>
      <c r="Q62" s="2"/>
      <c r="R62" s="2"/>
      <c r="S62" s="4"/>
      <c r="T62" s="4"/>
    </row>
    <row r="63" spans="1:20" ht="27">
      <c r="A63" s="1">
        <v>62</v>
      </c>
      <c r="B63" s="1" t="s">
        <v>532</v>
      </c>
      <c r="C63" s="1" t="s">
        <v>535</v>
      </c>
      <c r="D63" s="1">
        <f t="shared" si="1"/>
        <v>8</v>
      </c>
      <c r="E63" s="1" t="str">
        <f t="shared" si="0"/>
        <v>SFR-008-008</v>
      </c>
      <c r="F63" s="4" t="s">
        <v>1048</v>
      </c>
      <c r="G63" s="36" t="s">
        <v>242</v>
      </c>
      <c r="H63" s="2"/>
      <c r="I63" s="30"/>
      <c r="J63" s="30"/>
      <c r="K63" s="30" t="s">
        <v>481</v>
      </c>
      <c r="L63" s="2"/>
      <c r="M63" s="2"/>
      <c r="N63" s="2"/>
      <c r="O63" s="30" t="s">
        <v>160</v>
      </c>
      <c r="P63" s="30"/>
      <c r="Q63" s="2"/>
      <c r="R63" s="2"/>
      <c r="S63" s="4"/>
      <c r="T63" s="4"/>
    </row>
    <row r="64" spans="1:20" ht="54">
      <c r="A64" s="1">
        <v>63</v>
      </c>
      <c r="B64" s="1" t="s">
        <v>532</v>
      </c>
      <c r="C64" s="1" t="s">
        <v>535</v>
      </c>
      <c r="D64" s="1">
        <f t="shared" si="1"/>
        <v>9</v>
      </c>
      <c r="E64" s="1" t="str">
        <f t="shared" si="0"/>
        <v>SFR-008-009</v>
      </c>
      <c r="F64" s="4" t="s">
        <v>1048</v>
      </c>
      <c r="G64" s="2" t="s">
        <v>170</v>
      </c>
      <c r="H64" s="2" t="s">
        <v>296</v>
      </c>
      <c r="I64" s="30">
        <v>10</v>
      </c>
      <c r="J64" s="32" t="s">
        <v>486</v>
      </c>
      <c r="K64" s="30" t="s">
        <v>479</v>
      </c>
      <c r="L64" s="2"/>
      <c r="M64" s="2"/>
      <c r="N64" s="2"/>
      <c r="O64" s="30" t="s">
        <v>160</v>
      </c>
      <c r="P64" s="30"/>
      <c r="Q64" s="2"/>
      <c r="R64" s="2" t="s">
        <v>414</v>
      </c>
      <c r="S64" s="4" t="s">
        <v>395</v>
      </c>
      <c r="T64" s="4"/>
    </row>
    <row r="65" spans="1:20" ht="27">
      <c r="A65" s="1">
        <v>64</v>
      </c>
      <c r="B65" s="1" t="s">
        <v>532</v>
      </c>
      <c r="C65" s="1" t="s">
        <v>535</v>
      </c>
      <c r="D65" s="1">
        <f t="shared" si="1"/>
        <v>10</v>
      </c>
      <c r="E65" s="1" t="str">
        <f t="shared" si="0"/>
        <v>SFR-008-010</v>
      </c>
      <c r="F65" s="4" t="s">
        <v>1048</v>
      </c>
      <c r="G65" s="2" t="s">
        <v>380</v>
      </c>
      <c r="H65" s="2"/>
      <c r="I65" s="30"/>
      <c r="J65" s="30"/>
      <c r="K65" s="30" t="s">
        <v>481</v>
      </c>
      <c r="L65" s="2"/>
      <c r="M65" s="2"/>
      <c r="N65" s="2"/>
      <c r="O65" s="30" t="s">
        <v>160</v>
      </c>
      <c r="P65" s="30"/>
      <c r="Q65" s="2"/>
      <c r="R65" s="2" t="s">
        <v>409</v>
      </c>
      <c r="S65" s="4" t="s">
        <v>1080</v>
      </c>
      <c r="T65" s="4"/>
    </row>
    <row r="66" spans="1:20" ht="27">
      <c r="A66" s="1">
        <v>65</v>
      </c>
      <c r="B66" s="1" t="s">
        <v>532</v>
      </c>
      <c r="C66" s="1" t="s">
        <v>1046</v>
      </c>
      <c r="D66" s="1">
        <f t="shared" si="1"/>
        <v>1</v>
      </c>
      <c r="E66" s="1" t="str">
        <f t="shared" si="0"/>
        <v xml:space="preserve"> SFR-009-001</v>
      </c>
      <c r="F66" s="4" t="s">
        <v>1045</v>
      </c>
      <c r="G66" s="2" t="s">
        <v>249</v>
      </c>
      <c r="H66" s="2" t="s">
        <v>250</v>
      </c>
      <c r="I66" s="30"/>
      <c r="J66" s="30"/>
      <c r="K66" s="30" t="s">
        <v>481</v>
      </c>
      <c r="L66" s="2"/>
      <c r="M66" s="2"/>
      <c r="N66" s="2"/>
      <c r="O66" s="30" t="s">
        <v>160</v>
      </c>
      <c r="P66" s="30"/>
      <c r="Q66" s="2"/>
      <c r="R66" s="2" t="s">
        <v>772</v>
      </c>
      <c r="S66" s="4"/>
      <c r="T66" s="4"/>
    </row>
    <row r="67" spans="1:20" ht="27">
      <c r="A67" s="1">
        <v>66</v>
      </c>
      <c r="B67" s="1" t="s">
        <v>532</v>
      </c>
      <c r="C67" s="1" t="s">
        <v>1046</v>
      </c>
      <c r="D67" s="1">
        <f t="shared" si="1"/>
        <v>2</v>
      </c>
      <c r="E67" s="1" t="str">
        <f t="shared" ref="E67:E130" si="2">C67&amp;"-"&amp;TEXT(D67,"000")</f>
        <v xml:space="preserve"> SFR-009-002</v>
      </c>
      <c r="F67" s="4" t="s">
        <v>1045</v>
      </c>
      <c r="G67" s="2" t="s">
        <v>249</v>
      </c>
      <c r="H67" s="2" t="s">
        <v>610</v>
      </c>
      <c r="I67" s="30"/>
      <c r="J67" s="30"/>
      <c r="K67" s="30" t="s">
        <v>481</v>
      </c>
      <c r="L67" s="2"/>
      <c r="M67" s="2"/>
      <c r="N67" s="2"/>
      <c r="O67" s="30" t="s">
        <v>160</v>
      </c>
      <c r="P67" s="30"/>
      <c r="Q67" s="2"/>
      <c r="R67" s="2"/>
      <c r="S67" s="4"/>
      <c r="T67" s="4"/>
    </row>
    <row r="68" spans="1:20" ht="67.5">
      <c r="A68" s="1">
        <v>67</v>
      </c>
      <c r="B68" s="1" t="s">
        <v>532</v>
      </c>
      <c r="C68" s="1" t="s">
        <v>1046</v>
      </c>
      <c r="D68" s="1">
        <f t="shared" ref="D68:D131" si="3">IF(C67=C68,D67+1,1)</f>
        <v>3</v>
      </c>
      <c r="E68" s="1" t="str">
        <f t="shared" si="2"/>
        <v xml:space="preserve"> SFR-009-003</v>
      </c>
      <c r="F68" s="4" t="s">
        <v>1045</v>
      </c>
      <c r="G68" s="2" t="s">
        <v>249</v>
      </c>
      <c r="H68" s="36" t="s">
        <v>312</v>
      </c>
      <c r="I68" s="30">
        <v>10</v>
      </c>
      <c r="J68" s="30">
        <v>1.1299999999999999</v>
      </c>
      <c r="K68" s="30" t="s">
        <v>479</v>
      </c>
      <c r="L68" s="2"/>
      <c r="M68" s="2"/>
      <c r="N68" s="2"/>
      <c r="O68" s="30" t="s">
        <v>160</v>
      </c>
      <c r="P68" s="30"/>
      <c r="Q68" s="2"/>
      <c r="R68" s="2"/>
      <c r="S68" s="4"/>
      <c r="T68" s="4"/>
    </row>
    <row r="69" spans="1:20" ht="27">
      <c r="A69" s="1">
        <v>68</v>
      </c>
      <c r="B69" s="1" t="s">
        <v>532</v>
      </c>
      <c r="C69" s="1" t="s">
        <v>1046</v>
      </c>
      <c r="D69" s="1">
        <f t="shared" si="3"/>
        <v>4</v>
      </c>
      <c r="E69" s="1" t="str">
        <f t="shared" si="2"/>
        <v xml:space="preserve"> SFR-009-004</v>
      </c>
      <c r="F69" s="4" t="s">
        <v>1045</v>
      </c>
      <c r="G69" s="36" t="s">
        <v>265</v>
      </c>
      <c r="H69" s="2"/>
      <c r="I69" s="30">
        <v>10</v>
      </c>
      <c r="J69" s="30">
        <v>1.1399999999999999</v>
      </c>
      <c r="K69" s="30" t="s">
        <v>479</v>
      </c>
      <c r="L69" s="2"/>
      <c r="M69" s="2"/>
      <c r="N69" s="2"/>
      <c r="O69" s="30" t="s">
        <v>160</v>
      </c>
      <c r="P69" s="30"/>
      <c r="Q69" s="2"/>
      <c r="R69" s="2" t="s">
        <v>669</v>
      </c>
      <c r="S69" s="4"/>
      <c r="T69" s="4"/>
    </row>
    <row r="70" spans="1:20" ht="40.5">
      <c r="A70" s="1">
        <v>69</v>
      </c>
      <c r="B70" s="1" t="s">
        <v>532</v>
      </c>
      <c r="C70" s="1" t="s">
        <v>1046</v>
      </c>
      <c r="D70" s="1">
        <f t="shared" si="3"/>
        <v>5</v>
      </c>
      <c r="E70" s="1" t="str">
        <f t="shared" si="2"/>
        <v xml:space="preserve"> SFR-009-005</v>
      </c>
      <c r="F70" s="4" t="s">
        <v>1045</v>
      </c>
      <c r="G70" s="36" t="s">
        <v>257</v>
      </c>
      <c r="H70" s="2"/>
      <c r="I70" s="30"/>
      <c r="J70" s="30"/>
      <c r="K70" s="30" t="s">
        <v>481</v>
      </c>
      <c r="L70" s="2"/>
      <c r="M70" s="2"/>
      <c r="N70" s="2"/>
      <c r="O70" s="30" t="s">
        <v>160</v>
      </c>
      <c r="P70" s="30"/>
      <c r="Q70" s="2"/>
      <c r="R70" s="2"/>
      <c r="S70" s="4"/>
      <c r="T70" s="4"/>
    </row>
    <row r="71" spans="1:20" ht="27">
      <c r="A71" s="1">
        <v>70</v>
      </c>
      <c r="B71" s="1" t="s">
        <v>532</v>
      </c>
      <c r="C71" s="1" t="s">
        <v>1046</v>
      </c>
      <c r="D71" s="1">
        <f t="shared" si="3"/>
        <v>6</v>
      </c>
      <c r="E71" s="1" t="str">
        <f t="shared" si="2"/>
        <v xml:space="preserve"> SFR-009-006</v>
      </c>
      <c r="F71" s="4" t="s">
        <v>1045</v>
      </c>
      <c r="G71" s="36" t="s">
        <v>737</v>
      </c>
      <c r="H71" s="2"/>
      <c r="I71" s="30"/>
      <c r="J71" s="30"/>
      <c r="K71" s="30" t="s">
        <v>481</v>
      </c>
      <c r="L71" s="2"/>
      <c r="M71" s="2"/>
      <c r="N71" s="2"/>
      <c r="O71" s="30" t="s">
        <v>160</v>
      </c>
      <c r="P71" s="30"/>
      <c r="Q71" s="2"/>
      <c r="R71" s="2" t="s">
        <v>642</v>
      </c>
      <c r="S71" s="4"/>
      <c r="T71" s="4"/>
    </row>
    <row r="72" spans="1:20">
      <c r="A72" s="1">
        <v>71</v>
      </c>
      <c r="B72" s="1" t="s">
        <v>532</v>
      </c>
      <c r="C72" s="1" t="s">
        <v>1046</v>
      </c>
      <c r="D72" s="1">
        <f t="shared" si="3"/>
        <v>7</v>
      </c>
      <c r="E72" s="1" t="str">
        <f t="shared" si="2"/>
        <v xml:space="preserve"> SFR-009-007</v>
      </c>
      <c r="F72" s="4" t="s">
        <v>1045</v>
      </c>
      <c r="G72" s="36" t="s">
        <v>728</v>
      </c>
      <c r="H72" s="2" t="s">
        <v>733</v>
      </c>
      <c r="I72" s="30">
        <v>10</v>
      </c>
      <c r="J72" s="30">
        <v>1.1499999999999999</v>
      </c>
      <c r="K72" s="30" t="s">
        <v>479</v>
      </c>
      <c r="L72" s="2"/>
      <c r="M72" s="2"/>
      <c r="N72" s="2"/>
      <c r="O72" s="30" t="s">
        <v>160</v>
      </c>
      <c r="P72" s="30"/>
      <c r="Q72" s="2"/>
      <c r="R72" s="2" t="s">
        <v>668</v>
      </c>
      <c r="S72" s="4"/>
      <c r="T72" s="4"/>
    </row>
    <row r="73" spans="1:20" ht="27">
      <c r="A73" s="1">
        <v>72</v>
      </c>
      <c r="B73" s="1" t="s">
        <v>532</v>
      </c>
      <c r="C73" s="1" t="s">
        <v>1046</v>
      </c>
      <c r="D73" s="1">
        <f t="shared" si="3"/>
        <v>8</v>
      </c>
      <c r="E73" s="1" t="str">
        <f t="shared" si="2"/>
        <v xml:space="preserve"> SFR-009-008</v>
      </c>
      <c r="F73" s="4" t="s">
        <v>1045</v>
      </c>
      <c r="G73" s="2" t="s">
        <v>646</v>
      </c>
      <c r="H73" s="2"/>
      <c r="I73" s="30"/>
      <c r="J73" s="30"/>
      <c r="K73" s="30" t="s">
        <v>481</v>
      </c>
      <c r="L73" s="2"/>
      <c r="M73" s="2"/>
      <c r="N73" s="2"/>
      <c r="O73" s="30" t="s">
        <v>160</v>
      </c>
      <c r="P73" s="30"/>
      <c r="Q73" s="2"/>
      <c r="R73" s="2"/>
      <c r="S73" s="4" t="s">
        <v>680</v>
      </c>
      <c r="T73" s="4"/>
    </row>
    <row r="74" spans="1:20" ht="54">
      <c r="A74" s="1">
        <v>73</v>
      </c>
      <c r="B74" s="1" t="s">
        <v>532</v>
      </c>
      <c r="C74" s="1" t="s">
        <v>1046</v>
      </c>
      <c r="D74" s="1">
        <f t="shared" si="3"/>
        <v>9</v>
      </c>
      <c r="E74" s="1" t="str">
        <f t="shared" si="2"/>
        <v xml:space="preserve"> SFR-009-009</v>
      </c>
      <c r="F74" s="4" t="s">
        <v>1045</v>
      </c>
      <c r="G74" s="2" t="s">
        <v>170</v>
      </c>
      <c r="H74" s="2" t="s">
        <v>296</v>
      </c>
      <c r="I74" s="30">
        <v>10</v>
      </c>
      <c r="J74" s="30">
        <v>1.1599999999999999</v>
      </c>
      <c r="K74" s="30"/>
      <c r="L74" s="2"/>
      <c r="M74" s="2"/>
      <c r="N74" s="2"/>
      <c r="O74" s="30" t="s">
        <v>160</v>
      </c>
      <c r="P74" s="30"/>
      <c r="Q74" s="2"/>
      <c r="R74" s="2"/>
      <c r="S74" s="4" t="s">
        <v>395</v>
      </c>
      <c r="T74" s="4"/>
    </row>
    <row r="75" spans="1:20" ht="81">
      <c r="A75" s="1">
        <v>74</v>
      </c>
      <c r="B75" s="1" t="s">
        <v>532</v>
      </c>
      <c r="C75" s="1" t="s">
        <v>1046</v>
      </c>
      <c r="D75" s="1">
        <f t="shared" si="3"/>
        <v>10</v>
      </c>
      <c r="E75" s="1" t="str">
        <f t="shared" si="2"/>
        <v xml:space="preserve"> SFR-009-010</v>
      </c>
      <c r="F75" s="4" t="s">
        <v>1045</v>
      </c>
      <c r="G75" s="2" t="s">
        <v>317</v>
      </c>
      <c r="H75" s="2"/>
      <c r="I75" s="30"/>
      <c r="J75" s="30"/>
      <c r="K75" s="30" t="s">
        <v>481</v>
      </c>
      <c r="L75" s="2"/>
      <c r="M75" s="2"/>
      <c r="N75" s="2"/>
      <c r="O75" s="30" t="s">
        <v>160</v>
      </c>
      <c r="P75" s="30"/>
      <c r="Q75" s="2"/>
      <c r="R75" s="2" t="s">
        <v>409</v>
      </c>
      <c r="S75" s="4" t="s">
        <v>598</v>
      </c>
      <c r="T75" s="4"/>
    </row>
    <row r="76" spans="1:20" ht="54">
      <c r="A76" s="1">
        <v>75</v>
      </c>
      <c r="B76" s="1" t="s">
        <v>532</v>
      </c>
      <c r="C76" s="1" t="s">
        <v>521</v>
      </c>
      <c r="D76" s="1">
        <f t="shared" si="3"/>
        <v>1</v>
      </c>
      <c r="E76" s="1" t="str">
        <f t="shared" si="2"/>
        <v>SFR-010-001</v>
      </c>
      <c r="F76" s="4" t="s">
        <v>522</v>
      </c>
      <c r="G76" s="2" t="s">
        <v>714</v>
      </c>
      <c r="H76" s="2" t="s">
        <v>368</v>
      </c>
      <c r="I76" s="30">
        <v>10</v>
      </c>
      <c r="J76" s="30">
        <v>1.17</v>
      </c>
      <c r="K76" s="30" t="s">
        <v>479</v>
      </c>
      <c r="L76" s="2"/>
      <c r="M76" s="2"/>
      <c r="N76" s="2"/>
      <c r="O76" s="30" t="s">
        <v>160</v>
      </c>
      <c r="P76" s="30"/>
      <c r="Q76" s="2"/>
      <c r="R76" s="2" t="s">
        <v>442</v>
      </c>
      <c r="S76" s="4" t="s">
        <v>1077</v>
      </c>
      <c r="T76" s="4"/>
    </row>
    <row r="77" spans="1:20" ht="27">
      <c r="A77" s="1">
        <v>76</v>
      </c>
      <c r="B77" s="1" t="s">
        <v>532</v>
      </c>
      <c r="C77" s="1" t="s">
        <v>521</v>
      </c>
      <c r="D77" s="1">
        <f t="shared" si="3"/>
        <v>2</v>
      </c>
      <c r="E77" s="1" t="str">
        <f t="shared" si="2"/>
        <v>SFR-010-002</v>
      </c>
      <c r="F77" s="4" t="s">
        <v>522</v>
      </c>
      <c r="G77" s="2" t="s">
        <v>714</v>
      </c>
      <c r="H77" s="36" t="s">
        <v>632</v>
      </c>
      <c r="I77" s="30"/>
      <c r="J77" s="30"/>
      <c r="K77" s="30" t="s">
        <v>481</v>
      </c>
      <c r="L77" s="2"/>
      <c r="M77" s="2"/>
      <c r="N77" s="2"/>
      <c r="O77" s="30" t="s">
        <v>160</v>
      </c>
      <c r="P77" s="30"/>
      <c r="Q77" s="2"/>
      <c r="R77" s="2"/>
      <c r="S77" s="4"/>
      <c r="T77" s="4"/>
    </row>
    <row r="78" spans="1:20" ht="27">
      <c r="A78" s="1">
        <v>77</v>
      </c>
      <c r="B78" s="1" t="s">
        <v>532</v>
      </c>
      <c r="C78" s="1" t="s">
        <v>521</v>
      </c>
      <c r="D78" s="1">
        <f t="shared" si="3"/>
        <v>3</v>
      </c>
      <c r="E78" s="1" t="str">
        <f t="shared" si="2"/>
        <v>SFR-010-003</v>
      </c>
      <c r="F78" s="4" t="s">
        <v>522</v>
      </c>
      <c r="G78" s="2" t="s">
        <v>714</v>
      </c>
      <c r="H78" s="36" t="s">
        <v>236</v>
      </c>
      <c r="I78" s="30"/>
      <c r="J78" s="30"/>
      <c r="K78" s="30" t="s">
        <v>481</v>
      </c>
      <c r="L78" s="2"/>
      <c r="M78" s="2"/>
      <c r="N78" s="2"/>
      <c r="O78" s="30" t="s">
        <v>160</v>
      </c>
      <c r="P78" s="30"/>
      <c r="Q78" s="2"/>
      <c r="R78" s="2"/>
      <c r="S78" s="4"/>
      <c r="T78" s="4"/>
    </row>
    <row r="79" spans="1:20" ht="67.5">
      <c r="A79" s="1">
        <v>78</v>
      </c>
      <c r="B79" s="1" t="s">
        <v>532</v>
      </c>
      <c r="C79" s="1" t="s">
        <v>521</v>
      </c>
      <c r="D79" s="1">
        <f t="shared" si="3"/>
        <v>4</v>
      </c>
      <c r="E79" s="1" t="str">
        <f t="shared" si="2"/>
        <v>SFR-010-004</v>
      </c>
      <c r="F79" s="4" t="s">
        <v>522</v>
      </c>
      <c r="G79" s="2" t="s">
        <v>595</v>
      </c>
      <c r="H79" s="2" t="s">
        <v>36</v>
      </c>
      <c r="I79" s="30">
        <v>10</v>
      </c>
      <c r="J79" s="30">
        <v>1.18</v>
      </c>
      <c r="K79" s="30" t="s">
        <v>479</v>
      </c>
      <c r="L79" s="2"/>
      <c r="M79" s="2"/>
      <c r="N79" s="2"/>
      <c r="O79" s="30" t="s">
        <v>160</v>
      </c>
      <c r="P79" s="30"/>
      <c r="Q79" s="2"/>
      <c r="R79" s="2" t="s">
        <v>196</v>
      </c>
      <c r="S79" s="4" t="s">
        <v>393</v>
      </c>
      <c r="T79" s="4"/>
    </row>
    <row r="80" spans="1:20" ht="40.5">
      <c r="A80" s="1">
        <v>79</v>
      </c>
      <c r="B80" s="1" t="s">
        <v>532</v>
      </c>
      <c r="C80" s="1" t="s">
        <v>521</v>
      </c>
      <c r="D80" s="1">
        <f t="shared" si="3"/>
        <v>5</v>
      </c>
      <c r="E80" s="1" t="str">
        <f t="shared" si="2"/>
        <v>SFR-010-005</v>
      </c>
      <c r="F80" s="4" t="s">
        <v>522</v>
      </c>
      <c r="G80" s="2" t="s">
        <v>595</v>
      </c>
      <c r="H80" s="2" t="s">
        <v>351</v>
      </c>
      <c r="I80" s="30"/>
      <c r="J80" s="30"/>
      <c r="K80" s="30" t="s">
        <v>481</v>
      </c>
      <c r="L80" s="2"/>
      <c r="M80" s="2"/>
      <c r="N80" s="2"/>
      <c r="O80" s="30" t="s">
        <v>160</v>
      </c>
      <c r="P80" s="30"/>
      <c r="Q80" s="2"/>
      <c r="R80" s="2"/>
      <c r="S80" s="4"/>
      <c r="T80" s="4"/>
    </row>
    <row r="81" spans="1:20" ht="54">
      <c r="A81" s="1">
        <v>80</v>
      </c>
      <c r="B81" s="1" t="s">
        <v>532</v>
      </c>
      <c r="C81" s="1" t="s">
        <v>521</v>
      </c>
      <c r="D81" s="1">
        <f t="shared" si="3"/>
        <v>6</v>
      </c>
      <c r="E81" s="1" t="str">
        <f t="shared" si="2"/>
        <v>SFR-010-006</v>
      </c>
      <c r="F81" s="4" t="s">
        <v>522</v>
      </c>
      <c r="G81" s="2" t="s">
        <v>595</v>
      </c>
      <c r="H81" s="2" t="s">
        <v>100</v>
      </c>
      <c r="I81" s="30"/>
      <c r="J81" s="30"/>
      <c r="K81" s="30" t="s">
        <v>481</v>
      </c>
      <c r="L81" s="2"/>
      <c r="M81" s="2"/>
      <c r="N81" s="2"/>
      <c r="O81" s="30" t="s">
        <v>160</v>
      </c>
      <c r="P81" s="30"/>
      <c r="Q81" s="2"/>
      <c r="R81" s="2"/>
      <c r="S81" s="4"/>
      <c r="T81" s="4"/>
    </row>
    <row r="82" spans="1:20" ht="27">
      <c r="A82" s="1">
        <v>81</v>
      </c>
      <c r="B82" s="1" t="s">
        <v>532</v>
      </c>
      <c r="C82" s="1" t="s">
        <v>521</v>
      </c>
      <c r="D82" s="1">
        <f t="shared" si="3"/>
        <v>7</v>
      </c>
      <c r="E82" s="1" t="str">
        <f t="shared" si="2"/>
        <v>SFR-010-007</v>
      </c>
      <c r="F82" s="4" t="s">
        <v>522</v>
      </c>
      <c r="G82" s="2" t="s">
        <v>417</v>
      </c>
      <c r="H82" s="2" t="s">
        <v>383</v>
      </c>
      <c r="I82" s="30">
        <v>10</v>
      </c>
      <c r="J82" s="30">
        <v>1.19</v>
      </c>
      <c r="K82" s="30" t="s">
        <v>479</v>
      </c>
      <c r="L82" s="2"/>
      <c r="M82" s="2"/>
      <c r="N82" s="2"/>
      <c r="O82" s="30" t="s">
        <v>160</v>
      </c>
      <c r="P82" s="30"/>
      <c r="Q82" s="2"/>
      <c r="R82" s="2"/>
      <c r="S82" s="4"/>
      <c r="T82" s="4"/>
    </row>
    <row r="83" spans="1:20" ht="54">
      <c r="A83" s="1">
        <v>82</v>
      </c>
      <c r="B83" s="1" t="s">
        <v>532</v>
      </c>
      <c r="C83" s="1" t="s">
        <v>521</v>
      </c>
      <c r="D83" s="1">
        <f t="shared" si="3"/>
        <v>8</v>
      </c>
      <c r="E83" s="1" t="str">
        <f t="shared" si="2"/>
        <v>SFR-010-008</v>
      </c>
      <c r="F83" s="4" t="s">
        <v>522</v>
      </c>
      <c r="G83" s="2" t="s">
        <v>24</v>
      </c>
      <c r="H83" s="2" t="s">
        <v>296</v>
      </c>
      <c r="I83" s="30">
        <v>10</v>
      </c>
      <c r="J83" s="32" t="s">
        <v>469</v>
      </c>
      <c r="K83" s="30" t="s">
        <v>479</v>
      </c>
      <c r="L83" s="2"/>
      <c r="M83" s="2"/>
      <c r="N83" s="2"/>
      <c r="O83" s="30" t="s">
        <v>160</v>
      </c>
      <c r="P83" s="30"/>
      <c r="Q83" s="2"/>
      <c r="R83" s="2"/>
      <c r="S83" s="4" t="s">
        <v>395</v>
      </c>
      <c r="T83" s="4"/>
    </row>
    <row r="84" spans="1:20" ht="27">
      <c r="A84" s="1">
        <v>83</v>
      </c>
      <c r="B84" s="1" t="s">
        <v>532</v>
      </c>
      <c r="C84" s="1" t="s">
        <v>521</v>
      </c>
      <c r="D84" s="1">
        <f t="shared" si="3"/>
        <v>9</v>
      </c>
      <c r="E84" s="1" t="str">
        <f t="shared" si="2"/>
        <v>SFR-010-009</v>
      </c>
      <c r="F84" s="4" t="s">
        <v>522</v>
      </c>
      <c r="G84" s="2" t="s">
        <v>380</v>
      </c>
      <c r="H84" s="2"/>
      <c r="I84" s="30"/>
      <c r="J84" s="30"/>
      <c r="K84" s="30" t="s">
        <v>481</v>
      </c>
      <c r="L84" s="2"/>
      <c r="M84" s="2"/>
      <c r="N84" s="2"/>
      <c r="O84" s="30" t="s">
        <v>160</v>
      </c>
      <c r="P84" s="30"/>
      <c r="Q84" s="2"/>
      <c r="R84" s="2" t="s">
        <v>409</v>
      </c>
      <c r="S84" s="4" t="s">
        <v>1080</v>
      </c>
      <c r="T84" s="4"/>
    </row>
    <row r="85" spans="1:20" ht="27">
      <c r="A85" s="1">
        <v>84</v>
      </c>
      <c r="B85" s="1" t="s">
        <v>532</v>
      </c>
      <c r="C85" s="1" t="s">
        <v>551</v>
      </c>
      <c r="D85" s="1">
        <f t="shared" si="3"/>
        <v>1</v>
      </c>
      <c r="E85" s="1" t="str">
        <f t="shared" si="2"/>
        <v>SFR-011-001</v>
      </c>
      <c r="F85" s="4" t="s">
        <v>525</v>
      </c>
      <c r="G85" s="2" t="s">
        <v>175</v>
      </c>
      <c r="H85" s="2"/>
      <c r="I85" s="30"/>
      <c r="J85" s="30"/>
      <c r="K85" s="30" t="s">
        <v>481</v>
      </c>
      <c r="L85" s="2"/>
      <c r="M85" s="2"/>
      <c r="N85" s="2"/>
      <c r="O85" s="30" t="s">
        <v>160</v>
      </c>
      <c r="P85" s="30"/>
      <c r="Q85" s="2"/>
      <c r="R85" s="2" t="s">
        <v>404</v>
      </c>
      <c r="S85" s="4" t="s">
        <v>1079</v>
      </c>
      <c r="T85" s="4"/>
    </row>
    <row r="86" spans="1:20" ht="54">
      <c r="A86" s="1">
        <v>85</v>
      </c>
      <c r="B86" s="1" t="s">
        <v>532</v>
      </c>
      <c r="C86" s="1" t="s">
        <v>551</v>
      </c>
      <c r="D86" s="1">
        <f t="shared" si="3"/>
        <v>2</v>
      </c>
      <c r="E86" s="1" t="str">
        <f t="shared" si="2"/>
        <v>SFR-011-002</v>
      </c>
      <c r="F86" s="4" t="s">
        <v>525</v>
      </c>
      <c r="G86" s="2" t="s">
        <v>333</v>
      </c>
      <c r="H86" s="2"/>
      <c r="I86" s="30">
        <v>10</v>
      </c>
      <c r="J86" s="30">
        <v>1.21</v>
      </c>
      <c r="K86" s="30" t="s">
        <v>479</v>
      </c>
      <c r="L86" s="2"/>
      <c r="M86" s="2"/>
      <c r="N86" s="2"/>
      <c r="O86" s="30" t="s">
        <v>160</v>
      </c>
      <c r="P86" s="30"/>
      <c r="Q86" s="2"/>
      <c r="R86" s="2"/>
      <c r="S86" s="4" t="s">
        <v>395</v>
      </c>
      <c r="T86" s="4"/>
    </row>
    <row r="87" spans="1:20" ht="94.5">
      <c r="A87" s="1">
        <v>86</v>
      </c>
      <c r="B87" s="1" t="s">
        <v>532</v>
      </c>
      <c r="C87" s="1" t="s">
        <v>551</v>
      </c>
      <c r="D87" s="1">
        <f t="shared" si="3"/>
        <v>3</v>
      </c>
      <c r="E87" s="1" t="str">
        <f t="shared" si="2"/>
        <v>SFR-011-003</v>
      </c>
      <c r="F87" s="4" t="s">
        <v>525</v>
      </c>
      <c r="G87" s="2" t="s">
        <v>347</v>
      </c>
      <c r="H87" s="2" t="s">
        <v>648</v>
      </c>
      <c r="I87" s="30"/>
      <c r="J87" s="30"/>
      <c r="K87" s="30" t="s">
        <v>481</v>
      </c>
      <c r="L87" s="2"/>
      <c r="M87" s="2"/>
      <c r="N87" s="2"/>
      <c r="O87" s="30" t="s">
        <v>160</v>
      </c>
      <c r="P87" s="30"/>
      <c r="Q87" s="2"/>
      <c r="R87" s="2" t="s">
        <v>291</v>
      </c>
      <c r="S87" s="4"/>
      <c r="T87" s="4"/>
    </row>
    <row r="88" spans="1:20" ht="27">
      <c r="A88" s="1">
        <v>87</v>
      </c>
      <c r="B88" s="1" t="s">
        <v>532</v>
      </c>
      <c r="C88" s="1" t="s">
        <v>551</v>
      </c>
      <c r="D88" s="1">
        <f t="shared" si="3"/>
        <v>4</v>
      </c>
      <c r="E88" s="1" t="str">
        <f t="shared" si="2"/>
        <v>SFR-011-004</v>
      </c>
      <c r="F88" s="4" t="s">
        <v>525</v>
      </c>
      <c r="G88" s="2" t="s">
        <v>347</v>
      </c>
      <c r="H88" s="2" t="s">
        <v>209</v>
      </c>
      <c r="I88" s="30">
        <v>10</v>
      </c>
      <c r="J88" s="30">
        <v>1.22</v>
      </c>
      <c r="K88" s="30" t="s">
        <v>479</v>
      </c>
      <c r="L88" s="2"/>
      <c r="M88" s="2"/>
      <c r="N88" s="2"/>
      <c r="O88" s="30" t="s">
        <v>160</v>
      </c>
      <c r="P88" s="30"/>
      <c r="Q88" s="2"/>
      <c r="R88" s="2"/>
      <c r="S88" s="4"/>
      <c r="T88" s="4"/>
    </row>
    <row r="89" spans="1:20" ht="67.5">
      <c r="A89" s="1">
        <v>88</v>
      </c>
      <c r="B89" s="1" t="s">
        <v>532</v>
      </c>
      <c r="C89" s="1" t="s">
        <v>551</v>
      </c>
      <c r="D89" s="1">
        <f t="shared" si="3"/>
        <v>5</v>
      </c>
      <c r="E89" s="1" t="str">
        <f t="shared" si="2"/>
        <v>SFR-011-005</v>
      </c>
      <c r="F89" s="4" t="s">
        <v>525</v>
      </c>
      <c r="G89" s="2" t="s">
        <v>347</v>
      </c>
      <c r="H89" s="2" t="s">
        <v>182</v>
      </c>
      <c r="I89" s="30">
        <v>10</v>
      </c>
      <c r="J89" s="30">
        <v>1.23</v>
      </c>
      <c r="K89" s="30" t="s">
        <v>479</v>
      </c>
      <c r="L89" s="2"/>
      <c r="M89" s="2"/>
      <c r="N89" s="2"/>
      <c r="O89" s="30" t="s">
        <v>160</v>
      </c>
      <c r="P89" s="30"/>
      <c r="Q89" s="2"/>
      <c r="R89" s="2"/>
      <c r="S89" s="4"/>
      <c r="T89" s="4"/>
    </row>
    <row r="90" spans="1:20" ht="27">
      <c r="A90" s="1">
        <v>89</v>
      </c>
      <c r="B90" s="1" t="s">
        <v>532</v>
      </c>
      <c r="C90" s="1" t="s">
        <v>551</v>
      </c>
      <c r="D90" s="1">
        <f t="shared" si="3"/>
        <v>6</v>
      </c>
      <c r="E90" s="1" t="str">
        <f t="shared" si="2"/>
        <v>SFR-011-006</v>
      </c>
      <c r="F90" s="4" t="s">
        <v>525</v>
      </c>
      <c r="G90" s="2" t="s">
        <v>308</v>
      </c>
      <c r="H90" s="2"/>
      <c r="I90" s="30"/>
      <c r="J90" s="30"/>
      <c r="K90" s="30" t="s">
        <v>481</v>
      </c>
      <c r="L90" s="2"/>
      <c r="M90" s="2"/>
      <c r="N90" s="2"/>
      <c r="O90" s="30" t="s">
        <v>160</v>
      </c>
      <c r="P90" s="30"/>
      <c r="Q90" s="2"/>
      <c r="R90" s="2"/>
      <c r="S90" s="4"/>
      <c r="T90" s="4"/>
    </row>
    <row r="91" spans="1:20" ht="54">
      <c r="A91" s="1">
        <v>90</v>
      </c>
      <c r="B91" s="1" t="s">
        <v>532</v>
      </c>
      <c r="C91" s="1" t="s">
        <v>551</v>
      </c>
      <c r="D91" s="1">
        <f t="shared" si="3"/>
        <v>7</v>
      </c>
      <c r="E91" s="1" t="str">
        <f t="shared" si="2"/>
        <v>SFR-011-007</v>
      </c>
      <c r="F91" s="4" t="s">
        <v>525</v>
      </c>
      <c r="G91" s="2" t="s">
        <v>26</v>
      </c>
      <c r="H91" s="2" t="s">
        <v>296</v>
      </c>
      <c r="I91" s="30">
        <v>10</v>
      </c>
      <c r="J91" s="30">
        <v>1.24</v>
      </c>
      <c r="K91" s="30" t="s">
        <v>479</v>
      </c>
      <c r="L91" s="2"/>
      <c r="M91" s="2"/>
      <c r="N91" s="2"/>
      <c r="O91" s="30" t="s">
        <v>160</v>
      </c>
      <c r="P91" s="30"/>
      <c r="Q91" s="2"/>
      <c r="R91" s="2"/>
      <c r="S91" s="4" t="s">
        <v>395</v>
      </c>
      <c r="T91" s="4"/>
    </row>
    <row r="92" spans="1:20" ht="27">
      <c r="A92" s="1">
        <v>91</v>
      </c>
      <c r="B92" s="1" t="s">
        <v>532</v>
      </c>
      <c r="C92" s="1" t="s">
        <v>551</v>
      </c>
      <c r="D92" s="1">
        <f t="shared" si="3"/>
        <v>8</v>
      </c>
      <c r="E92" s="1" t="str">
        <f t="shared" si="2"/>
        <v>SFR-011-008</v>
      </c>
      <c r="F92" s="4" t="s">
        <v>525</v>
      </c>
      <c r="G92" s="2" t="s">
        <v>380</v>
      </c>
      <c r="H92" s="2"/>
      <c r="I92" s="30"/>
      <c r="J92" s="30"/>
      <c r="K92" s="30" t="s">
        <v>481</v>
      </c>
      <c r="L92" s="2"/>
      <c r="M92" s="2"/>
      <c r="N92" s="2"/>
      <c r="O92" s="30" t="s">
        <v>160</v>
      </c>
      <c r="P92" s="30"/>
      <c r="Q92" s="2"/>
      <c r="R92" s="2" t="s">
        <v>409</v>
      </c>
      <c r="S92" s="4" t="s">
        <v>1080</v>
      </c>
      <c r="T92" s="4"/>
    </row>
    <row r="93" spans="1:20" ht="27">
      <c r="A93" s="1">
        <v>92</v>
      </c>
      <c r="B93" s="1" t="s">
        <v>532</v>
      </c>
      <c r="C93" s="1" t="s">
        <v>533</v>
      </c>
      <c r="D93" s="1">
        <f t="shared" si="3"/>
        <v>1</v>
      </c>
      <c r="E93" s="1" t="str">
        <f t="shared" si="2"/>
        <v>SFR-012-001</v>
      </c>
      <c r="F93" s="4" t="s">
        <v>677</v>
      </c>
      <c r="G93" s="2" t="s">
        <v>626</v>
      </c>
      <c r="H93" s="2" t="s">
        <v>56</v>
      </c>
      <c r="I93" s="30"/>
      <c r="J93" s="30"/>
      <c r="K93" s="30" t="s">
        <v>481</v>
      </c>
      <c r="L93" s="2"/>
      <c r="M93" s="2"/>
      <c r="N93" s="2"/>
      <c r="O93" s="30" t="s">
        <v>160</v>
      </c>
      <c r="P93" s="30"/>
      <c r="Q93" s="2"/>
      <c r="R93" s="2"/>
      <c r="S93" s="4"/>
      <c r="T93" s="4"/>
    </row>
    <row r="94" spans="1:20" ht="54">
      <c r="A94" s="1">
        <v>93</v>
      </c>
      <c r="B94" s="1" t="s">
        <v>532</v>
      </c>
      <c r="C94" s="1" t="s">
        <v>533</v>
      </c>
      <c r="D94" s="1">
        <f t="shared" si="3"/>
        <v>2</v>
      </c>
      <c r="E94" s="1" t="str">
        <f t="shared" si="2"/>
        <v>SFR-012-002</v>
      </c>
      <c r="F94" s="4" t="s">
        <v>677</v>
      </c>
      <c r="G94" s="2" t="s">
        <v>626</v>
      </c>
      <c r="H94" s="2" t="s">
        <v>402</v>
      </c>
      <c r="I94" s="30">
        <v>10</v>
      </c>
      <c r="J94" s="30">
        <v>1.25</v>
      </c>
      <c r="K94" s="30" t="s">
        <v>479</v>
      </c>
      <c r="L94" s="2"/>
      <c r="M94" s="2"/>
      <c r="N94" s="2"/>
      <c r="O94" s="30" t="s">
        <v>160</v>
      </c>
      <c r="P94" s="30"/>
      <c r="Q94" s="2"/>
      <c r="R94" s="2"/>
      <c r="S94" s="4"/>
      <c r="T94" s="4"/>
    </row>
    <row r="95" spans="1:20" ht="27">
      <c r="A95" s="1">
        <v>94</v>
      </c>
      <c r="B95" s="1" t="s">
        <v>532</v>
      </c>
      <c r="C95" s="1" t="s">
        <v>533</v>
      </c>
      <c r="D95" s="1">
        <f t="shared" si="3"/>
        <v>3</v>
      </c>
      <c r="E95" s="1" t="str">
        <f t="shared" si="2"/>
        <v>SFR-012-003</v>
      </c>
      <c r="F95" s="4" t="s">
        <v>677</v>
      </c>
      <c r="G95" s="2" t="s">
        <v>427</v>
      </c>
      <c r="H95" s="2" t="s">
        <v>205</v>
      </c>
      <c r="I95" s="30"/>
      <c r="J95" s="30"/>
      <c r="K95" s="30" t="s">
        <v>481</v>
      </c>
      <c r="L95" s="2"/>
      <c r="M95" s="2"/>
      <c r="N95" s="2"/>
      <c r="O95" s="30" t="s">
        <v>160</v>
      </c>
      <c r="P95" s="30"/>
      <c r="Q95" s="2"/>
      <c r="R95" s="2" t="s">
        <v>406</v>
      </c>
      <c r="S95" s="4" t="s">
        <v>681</v>
      </c>
      <c r="T95" s="4"/>
    </row>
    <row r="96" spans="1:20" ht="54">
      <c r="A96" s="1">
        <v>95</v>
      </c>
      <c r="B96" s="1" t="s">
        <v>532</v>
      </c>
      <c r="C96" s="1" t="s">
        <v>533</v>
      </c>
      <c r="D96" s="1">
        <f t="shared" si="3"/>
        <v>4</v>
      </c>
      <c r="E96" s="1" t="str">
        <f t="shared" si="2"/>
        <v>SFR-012-004</v>
      </c>
      <c r="F96" s="4" t="s">
        <v>677</v>
      </c>
      <c r="G96" s="2" t="s">
        <v>427</v>
      </c>
      <c r="H96" s="2" t="s">
        <v>336</v>
      </c>
      <c r="I96" s="30"/>
      <c r="J96" s="30"/>
      <c r="K96" s="30" t="s">
        <v>481</v>
      </c>
      <c r="L96" s="2"/>
      <c r="M96" s="2"/>
      <c r="N96" s="2"/>
      <c r="O96" s="30" t="s">
        <v>160</v>
      </c>
      <c r="P96" s="30"/>
      <c r="Q96" s="2"/>
      <c r="R96" s="2"/>
      <c r="S96" s="4"/>
      <c r="T96" s="4"/>
    </row>
    <row r="97" spans="1:20" ht="27">
      <c r="A97" s="1">
        <v>96</v>
      </c>
      <c r="B97" s="1" t="s">
        <v>532</v>
      </c>
      <c r="C97" s="1" t="s">
        <v>533</v>
      </c>
      <c r="D97" s="1">
        <f t="shared" si="3"/>
        <v>5</v>
      </c>
      <c r="E97" s="1" t="str">
        <f t="shared" si="2"/>
        <v>SFR-012-005</v>
      </c>
      <c r="F97" s="4" t="s">
        <v>677</v>
      </c>
      <c r="G97" s="2" t="s">
        <v>253</v>
      </c>
      <c r="H97" s="2" t="s">
        <v>412</v>
      </c>
      <c r="I97" s="30"/>
      <c r="J97" s="30"/>
      <c r="K97" s="30" t="s">
        <v>481</v>
      </c>
      <c r="L97" s="2"/>
      <c r="M97" s="2"/>
      <c r="N97" s="2"/>
      <c r="O97" s="30" t="s">
        <v>160</v>
      </c>
      <c r="P97" s="30"/>
      <c r="Q97" s="2"/>
      <c r="R97" s="2"/>
      <c r="S97" s="4"/>
      <c r="T97" s="4"/>
    </row>
    <row r="98" spans="1:20" ht="54">
      <c r="A98" s="1">
        <v>97</v>
      </c>
      <c r="B98" s="1" t="s">
        <v>532</v>
      </c>
      <c r="C98" s="1" t="s">
        <v>533</v>
      </c>
      <c r="D98" s="1">
        <f t="shared" si="3"/>
        <v>6</v>
      </c>
      <c r="E98" s="1" t="str">
        <f t="shared" si="2"/>
        <v>SFR-012-006</v>
      </c>
      <c r="F98" s="4" t="s">
        <v>677</v>
      </c>
      <c r="G98" s="2" t="s">
        <v>1187</v>
      </c>
      <c r="H98" s="2" t="s">
        <v>342</v>
      </c>
      <c r="I98" s="30"/>
      <c r="J98" s="30"/>
      <c r="K98" s="30" t="s">
        <v>481</v>
      </c>
      <c r="L98" s="2"/>
      <c r="M98" s="2"/>
      <c r="N98" s="2"/>
      <c r="O98" s="30" t="s">
        <v>160</v>
      </c>
      <c r="P98" s="30"/>
      <c r="Q98" s="2"/>
      <c r="R98" s="2"/>
      <c r="S98" s="4" t="s">
        <v>395</v>
      </c>
      <c r="T98" s="4"/>
    </row>
    <row r="99" spans="1:20" ht="27">
      <c r="A99" s="1">
        <v>98</v>
      </c>
      <c r="B99" s="1" t="s">
        <v>532</v>
      </c>
      <c r="C99" s="1" t="s">
        <v>533</v>
      </c>
      <c r="D99" s="1">
        <f t="shared" si="3"/>
        <v>7</v>
      </c>
      <c r="E99" s="1" t="str">
        <f t="shared" si="2"/>
        <v>SFR-012-007</v>
      </c>
      <c r="F99" s="4" t="s">
        <v>677</v>
      </c>
      <c r="G99" s="2" t="s">
        <v>380</v>
      </c>
      <c r="H99" s="2"/>
      <c r="I99" s="30"/>
      <c r="J99" s="30"/>
      <c r="K99" s="30" t="s">
        <v>481</v>
      </c>
      <c r="L99" s="2"/>
      <c r="M99" s="2"/>
      <c r="N99" s="2"/>
      <c r="O99" s="30" t="s">
        <v>160</v>
      </c>
      <c r="P99" s="30"/>
      <c r="Q99" s="2"/>
      <c r="R99" s="2" t="s">
        <v>409</v>
      </c>
      <c r="S99" s="4" t="s">
        <v>1080</v>
      </c>
      <c r="T99" s="4"/>
    </row>
    <row r="100" spans="1:20" ht="94.5">
      <c r="A100" s="1">
        <v>99</v>
      </c>
      <c r="B100" s="1" t="s">
        <v>532</v>
      </c>
      <c r="C100" s="1" t="s">
        <v>534</v>
      </c>
      <c r="D100" s="1">
        <f t="shared" si="3"/>
        <v>1</v>
      </c>
      <c r="E100" s="1" t="str">
        <f t="shared" si="2"/>
        <v>SFR-013-001</v>
      </c>
      <c r="F100" s="4" t="s">
        <v>1047</v>
      </c>
      <c r="G100" s="2" t="s">
        <v>277</v>
      </c>
      <c r="H100" s="2" t="s">
        <v>570</v>
      </c>
      <c r="I100" s="30">
        <v>10</v>
      </c>
      <c r="J100" s="30">
        <v>1.26</v>
      </c>
      <c r="K100" s="30" t="s">
        <v>479</v>
      </c>
      <c r="L100" s="2"/>
      <c r="M100" s="2"/>
      <c r="N100" s="2"/>
      <c r="O100" s="30" t="s">
        <v>160</v>
      </c>
      <c r="P100" s="30"/>
      <c r="Q100" s="2"/>
      <c r="R100" s="2" t="s">
        <v>345</v>
      </c>
      <c r="S100" s="4"/>
      <c r="T100" s="4"/>
    </row>
    <row r="101" spans="1:20" ht="27">
      <c r="A101" s="1">
        <v>100</v>
      </c>
      <c r="B101" s="1" t="s">
        <v>532</v>
      </c>
      <c r="C101" s="1" t="s">
        <v>534</v>
      </c>
      <c r="D101" s="1">
        <f t="shared" si="3"/>
        <v>2</v>
      </c>
      <c r="E101" s="1" t="str">
        <f t="shared" si="2"/>
        <v>SFR-013-002</v>
      </c>
      <c r="F101" s="4" t="s">
        <v>1047</v>
      </c>
      <c r="G101" s="2" t="s">
        <v>277</v>
      </c>
      <c r="H101" s="2" t="s">
        <v>366</v>
      </c>
      <c r="I101" s="30">
        <v>10</v>
      </c>
      <c r="J101" s="30">
        <v>1.27</v>
      </c>
      <c r="K101" s="30" t="s">
        <v>479</v>
      </c>
      <c r="L101" s="2"/>
      <c r="M101" s="2"/>
      <c r="N101" s="2"/>
      <c r="O101" s="30" t="s">
        <v>160</v>
      </c>
      <c r="P101" s="30"/>
      <c r="Q101" s="2"/>
      <c r="R101" s="2"/>
      <c r="S101" s="4"/>
      <c r="T101" s="4"/>
    </row>
    <row r="102" spans="1:20" ht="27">
      <c r="A102" s="1">
        <v>101</v>
      </c>
      <c r="B102" s="1" t="s">
        <v>532</v>
      </c>
      <c r="C102" s="1" t="s">
        <v>534</v>
      </c>
      <c r="D102" s="1">
        <f t="shared" si="3"/>
        <v>3</v>
      </c>
      <c r="E102" s="1" t="str">
        <f t="shared" si="2"/>
        <v>SFR-013-003</v>
      </c>
      <c r="F102" s="4" t="s">
        <v>1047</v>
      </c>
      <c r="G102" s="2" t="s">
        <v>623</v>
      </c>
      <c r="H102" s="2" t="s">
        <v>639</v>
      </c>
      <c r="I102" s="30"/>
      <c r="J102" s="30"/>
      <c r="K102" s="30" t="s">
        <v>481</v>
      </c>
      <c r="L102" s="2"/>
      <c r="M102" s="2"/>
      <c r="N102" s="2"/>
      <c r="O102" s="30" t="s">
        <v>160</v>
      </c>
      <c r="P102" s="30"/>
      <c r="Q102" s="2"/>
      <c r="R102" s="2" t="s">
        <v>686</v>
      </c>
      <c r="S102" s="4"/>
      <c r="T102" s="4" t="s">
        <v>453</v>
      </c>
    </row>
    <row r="103" spans="1:20" ht="54">
      <c r="A103" s="1">
        <v>102</v>
      </c>
      <c r="B103" s="1" t="s">
        <v>532</v>
      </c>
      <c r="C103" s="1" t="s">
        <v>534</v>
      </c>
      <c r="D103" s="1">
        <f t="shared" si="3"/>
        <v>4</v>
      </c>
      <c r="E103" s="1" t="str">
        <f t="shared" si="2"/>
        <v>SFR-013-004</v>
      </c>
      <c r="F103" s="4" t="s">
        <v>1047</v>
      </c>
      <c r="G103" s="2" t="s">
        <v>623</v>
      </c>
      <c r="H103" s="2" t="s">
        <v>401</v>
      </c>
      <c r="I103" s="30"/>
      <c r="J103" s="30"/>
      <c r="K103" s="30"/>
      <c r="L103" s="2"/>
      <c r="M103" s="2"/>
      <c r="N103" s="2"/>
      <c r="O103" s="30" t="s">
        <v>160</v>
      </c>
      <c r="P103" s="30"/>
      <c r="Q103" s="2"/>
      <c r="R103" s="2"/>
      <c r="S103" s="4"/>
      <c r="T103" s="4"/>
    </row>
    <row r="104" spans="1:20" ht="27">
      <c r="A104" s="1">
        <v>103</v>
      </c>
      <c r="B104" s="1" t="s">
        <v>532</v>
      </c>
      <c r="C104" s="1" t="s">
        <v>534</v>
      </c>
      <c r="D104" s="1">
        <f t="shared" si="3"/>
        <v>5</v>
      </c>
      <c r="E104" s="1" t="str">
        <f t="shared" si="2"/>
        <v>SFR-013-005</v>
      </c>
      <c r="F104" s="4" t="s">
        <v>1047</v>
      </c>
      <c r="G104" s="2" t="s">
        <v>623</v>
      </c>
      <c r="H104" s="2" t="s">
        <v>238</v>
      </c>
      <c r="I104" s="30"/>
      <c r="J104" s="30"/>
      <c r="K104" s="30"/>
      <c r="L104" s="2"/>
      <c r="M104" s="2"/>
      <c r="N104" s="2"/>
      <c r="O104" s="30" t="s">
        <v>160</v>
      </c>
      <c r="P104" s="30"/>
      <c r="Q104" s="2"/>
      <c r="R104" s="2"/>
      <c r="S104" s="4"/>
      <c r="T104" s="4"/>
    </row>
    <row r="105" spans="1:20" ht="40.5">
      <c r="A105" s="1">
        <v>104</v>
      </c>
      <c r="B105" s="1" t="s">
        <v>532</v>
      </c>
      <c r="C105" s="1" t="s">
        <v>534</v>
      </c>
      <c r="D105" s="1">
        <f t="shared" si="3"/>
        <v>6</v>
      </c>
      <c r="E105" s="1" t="str">
        <f t="shared" si="2"/>
        <v>SFR-013-006</v>
      </c>
      <c r="F105" s="4" t="s">
        <v>1047</v>
      </c>
      <c r="G105" s="2" t="s">
        <v>92</v>
      </c>
      <c r="H105" s="2"/>
      <c r="I105" s="30">
        <v>10</v>
      </c>
      <c r="J105" s="30">
        <v>1.28</v>
      </c>
      <c r="K105" s="30" t="s">
        <v>479</v>
      </c>
      <c r="L105" s="2"/>
      <c r="M105" s="2"/>
      <c r="N105" s="2"/>
      <c r="O105" s="30" t="s">
        <v>160</v>
      </c>
      <c r="P105" s="30"/>
      <c r="Q105" s="2"/>
      <c r="R105" s="2" t="s">
        <v>121</v>
      </c>
      <c r="S105" s="4" t="s">
        <v>948</v>
      </c>
      <c r="T105" s="4"/>
    </row>
    <row r="106" spans="1:20" ht="27">
      <c r="A106" s="1">
        <v>105</v>
      </c>
      <c r="B106" s="1" t="s">
        <v>532</v>
      </c>
      <c r="C106" s="1" t="s">
        <v>534</v>
      </c>
      <c r="D106" s="1">
        <f t="shared" si="3"/>
        <v>7</v>
      </c>
      <c r="E106" s="1" t="str">
        <f t="shared" si="2"/>
        <v>SFR-013-007</v>
      </c>
      <c r="F106" s="4" t="s">
        <v>1047</v>
      </c>
      <c r="G106" s="2" t="s">
        <v>380</v>
      </c>
      <c r="H106" s="2"/>
      <c r="I106" s="30"/>
      <c r="J106" s="30"/>
      <c r="K106" s="30" t="s">
        <v>481</v>
      </c>
      <c r="L106" s="2"/>
      <c r="M106" s="2"/>
      <c r="N106" s="2"/>
      <c r="O106" s="30" t="s">
        <v>160</v>
      </c>
      <c r="P106" s="30"/>
      <c r="Q106" s="2"/>
      <c r="R106" s="2" t="s">
        <v>409</v>
      </c>
      <c r="S106" s="4" t="s">
        <v>1080</v>
      </c>
      <c r="T106" s="4"/>
    </row>
    <row r="107" spans="1:20" ht="162">
      <c r="A107" s="1">
        <v>106</v>
      </c>
      <c r="B107" s="1" t="s">
        <v>532</v>
      </c>
      <c r="C107" s="1" t="s">
        <v>552</v>
      </c>
      <c r="D107" s="1">
        <f t="shared" si="3"/>
        <v>1</v>
      </c>
      <c r="E107" s="1" t="str">
        <f t="shared" si="2"/>
        <v>SFR-014-001</v>
      </c>
      <c r="F107" s="4" t="s">
        <v>1050</v>
      </c>
      <c r="G107" s="2" t="s">
        <v>50</v>
      </c>
      <c r="H107" s="2" t="s">
        <v>651</v>
      </c>
      <c r="I107" s="30">
        <v>10</v>
      </c>
      <c r="J107" s="30">
        <v>1.29</v>
      </c>
      <c r="K107" s="30" t="s">
        <v>479</v>
      </c>
      <c r="L107" s="2"/>
      <c r="M107" s="2"/>
      <c r="N107" s="2"/>
      <c r="O107" s="30" t="s">
        <v>160</v>
      </c>
      <c r="P107" s="30"/>
      <c r="Q107" s="2"/>
      <c r="R107" s="2" t="s">
        <v>98</v>
      </c>
      <c r="S107" s="5" t="s">
        <v>1072</v>
      </c>
      <c r="T107" s="4"/>
    </row>
    <row r="108" spans="1:20" ht="54">
      <c r="A108" s="1">
        <v>107</v>
      </c>
      <c r="B108" s="1" t="s">
        <v>532</v>
      </c>
      <c r="C108" s="1" t="s">
        <v>552</v>
      </c>
      <c r="D108" s="1">
        <f t="shared" si="3"/>
        <v>2</v>
      </c>
      <c r="E108" s="1" t="str">
        <f t="shared" si="2"/>
        <v>SFR-014-002</v>
      </c>
      <c r="F108" s="4" t="s">
        <v>1050</v>
      </c>
      <c r="G108" s="2" t="s">
        <v>50</v>
      </c>
      <c r="H108" s="2" t="s">
        <v>38</v>
      </c>
      <c r="I108" s="30"/>
      <c r="J108" s="30"/>
      <c r="K108" s="30" t="s">
        <v>481</v>
      </c>
      <c r="L108" s="2"/>
      <c r="M108" s="2"/>
      <c r="N108" s="2"/>
      <c r="O108" s="30" t="s">
        <v>160</v>
      </c>
      <c r="P108" s="30"/>
      <c r="Q108" s="2"/>
      <c r="R108" s="2"/>
      <c r="S108" s="5"/>
      <c r="T108" s="4"/>
    </row>
    <row r="109" spans="1:20">
      <c r="A109" s="1">
        <v>108</v>
      </c>
      <c r="B109" s="1" t="s">
        <v>532</v>
      </c>
      <c r="C109" s="1" t="s">
        <v>552</v>
      </c>
      <c r="D109" s="1">
        <f t="shared" si="3"/>
        <v>3</v>
      </c>
      <c r="E109" s="1" t="str">
        <f t="shared" si="2"/>
        <v>SFR-014-003</v>
      </c>
      <c r="F109" s="4" t="s">
        <v>1050</v>
      </c>
      <c r="G109" s="2" t="s">
        <v>50</v>
      </c>
      <c r="H109" s="2" t="s">
        <v>48</v>
      </c>
      <c r="I109" s="30"/>
      <c r="J109" s="30"/>
      <c r="K109" s="30" t="s">
        <v>481</v>
      </c>
      <c r="L109" s="2"/>
      <c r="M109" s="2"/>
      <c r="N109" s="2"/>
      <c r="O109" s="30" t="s">
        <v>160</v>
      </c>
      <c r="P109" s="30"/>
      <c r="Q109" s="2"/>
      <c r="R109" s="2"/>
      <c r="S109" s="5"/>
      <c r="T109" s="4"/>
    </row>
    <row r="110" spans="1:20" ht="27">
      <c r="A110" s="1">
        <v>109</v>
      </c>
      <c r="B110" s="1" t="s">
        <v>532</v>
      </c>
      <c r="C110" s="1" t="s">
        <v>552</v>
      </c>
      <c r="D110" s="1">
        <f t="shared" si="3"/>
        <v>4</v>
      </c>
      <c r="E110" s="1" t="str">
        <f t="shared" si="2"/>
        <v>SFR-014-004</v>
      </c>
      <c r="F110" s="4" t="s">
        <v>1050</v>
      </c>
      <c r="G110" s="36" t="s">
        <v>275</v>
      </c>
      <c r="H110" s="2"/>
      <c r="I110" s="30">
        <v>10</v>
      </c>
      <c r="J110" s="32" t="s">
        <v>499</v>
      </c>
      <c r="K110" s="30" t="s">
        <v>479</v>
      </c>
      <c r="L110" s="2"/>
      <c r="M110" s="2"/>
      <c r="N110" s="2"/>
      <c r="O110" s="30" t="s">
        <v>160</v>
      </c>
      <c r="P110" s="30"/>
      <c r="Q110" s="2"/>
      <c r="R110" s="2" t="s">
        <v>407</v>
      </c>
      <c r="S110" s="4"/>
      <c r="T110" s="4"/>
    </row>
    <row r="111" spans="1:20" ht="27">
      <c r="A111" s="1">
        <v>110</v>
      </c>
      <c r="B111" s="1" t="s">
        <v>532</v>
      </c>
      <c r="C111" s="1" t="s">
        <v>552</v>
      </c>
      <c r="D111" s="1">
        <f t="shared" si="3"/>
        <v>5</v>
      </c>
      <c r="E111" s="1" t="str">
        <f t="shared" si="2"/>
        <v>SFR-014-005</v>
      </c>
      <c r="F111" s="4" t="s">
        <v>1050</v>
      </c>
      <c r="G111" s="2" t="s">
        <v>426</v>
      </c>
      <c r="H111" s="2" t="s">
        <v>638</v>
      </c>
      <c r="I111" s="30"/>
      <c r="J111" s="30"/>
      <c r="K111" s="30" t="s">
        <v>481</v>
      </c>
      <c r="L111" s="2"/>
      <c r="M111" s="2"/>
      <c r="N111" s="2"/>
      <c r="O111" s="30" t="s">
        <v>160</v>
      </c>
      <c r="P111" s="30"/>
      <c r="Q111" s="2"/>
      <c r="R111" s="2"/>
      <c r="S111" s="4"/>
      <c r="T111" s="4"/>
    </row>
    <row r="112" spans="1:20" ht="27">
      <c r="A112" s="1">
        <v>111</v>
      </c>
      <c r="B112" s="1" t="s">
        <v>532</v>
      </c>
      <c r="C112" s="1" t="s">
        <v>552</v>
      </c>
      <c r="D112" s="1">
        <f t="shared" si="3"/>
        <v>6</v>
      </c>
      <c r="E112" s="1" t="str">
        <f t="shared" si="2"/>
        <v>SFR-014-006</v>
      </c>
      <c r="F112" s="4" t="s">
        <v>1050</v>
      </c>
      <c r="G112" s="36" t="s">
        <v>171</v>
      </c>
      <c r="H112" s="2" t="s">
        <v>398</v>
      </c>
      <c r="I112" s="30">
        <v>10</v>
      </c>
      <c r="J112" s="30">
        <v>1.31</v>
      </c>
      <c r="K112" s="30" t="s">
        <v>479</v>
      </c>
      <c r="L112" s="2"/>
      <c r="M112" s="2"/>
      <c r="N112" s="2"/>
      <c r="O112" s="30" t="s">
        <v>160</v>
      </c>
      <c r="P112" s="30"/>
      <c r="Q112" s="2"/>
      <c r="R112" s="2"/>
      <c r="S112" s="4"/>
      <c r="T112" s="4"/>
    </row>
    <row r="113" spans="1:20" ht="27">
      <c r="A113" s="1">
        <v>112</v>
      </c>
      <c r="B113" s="1" t="s">
        <v>532</v>
      </c>
      <c r="C113" s="1" t="s">
        <v>552</v>
      </c>
      <c r="D113" s="1">
        <f t="shared" si="3"/>
        <v>7</v>
      </c>
      <c r="E113" s="1" t="str">
        <f t="shared" si="2"/>
        <v>SFR-014-007</v>
      </c>
      <c r="F113" s="4" t="s">
        <v>1050</v>
      </c>
      <c r="G113" s="2" t="s">
        <v>278</v>
      </c>
      <c r="H113" s="2" t="s">
        <v>252</v>
      </c>
      <c r="I113" s="30"/>
      <c r="J113" s="30"/>
      <c r="K113" s="30" t="s">
        <v>481</v>
      </c>
      <c r="L113" s="2"/>
      <c r="M113" s="2"/>
      <c r="N113" s="2"/>
      <c r="O113" s="30" t="s">
        <v>160</v>
      </c>
      <c r="P113" s="30"/>
      <c r="Q113" s="2"/>
      <c r="R113" s="2" t="s">
        <v>756</v>
      </c>
      <c r="S113" s="4" t="s">
        <v>1079</v>
      </c>
      <c r="T113" s="4"/>
    </row>
    <row r="114" spans="1:20" ht="54">
      <c r="A114" s="1">
        <v>113</v>
      </c>
      <c r="B114" s="1" t="s">
        <v>532</v>
      </c>
      <c r="C114" s="1" t="s">
        <v>552</v>
      </c>
      <c r="D114" s="1">
        <f t="shared" si="3"/>
        <v>8</v>
      </c>
      <c r="E114" s="1" t="str">
        <f t="shared" si="2"/>
        <v>SFR-014-008</v>
      </c>
      <c r="F114" s="4" t="s">
        <v>1050</v>
      </c>
      <c r="G114" s="2" t="s">
        <v>309</v>
      </c>
      <c r="H114" s="2"/>
      <c r="I114" s="30"/>
      <c r="J114" s="30"/>
      <c r="K114" s="30" t="s">
        <v>481</v>
      </c>
      <c r="L114" s="2"/>
      <c r="M114" s="2"/>
      <c r="N114" s="2"/>
      <c r="O114" s="30" t="s">
        <v>160</v>
      </c>
      <c r="P114" s="30"/>
      <c r="Q114" s="2"/>
      <c r="R114" s="2"/>
      <c r="S114" s="4" t="s">
        <v>367</v>
      </c>
      <c r="T114" s="4"/>
    </row>
    <row r="115" spans="1:20" ht="54">
      <c r="A115" s="1">
        <v>114</v>
      </c>
      <c r="B115" s="1" t="s">
        <v>532</v>
      </c>
      <c r="C115" s="1" t="s">
        <v>552</v>
      </c>
      <c r="D115" s="1">
        <f t="shared" si="3"/>
        <v>9</v>
      </c>
      <c r="E115" s="1" t="str">
        <f t="shared" si="2"/>
        <v>SFR-014-009</v>
      </c>
      <c r="F115" s="4" t="s">
        <v>1050</v>
      </c>
      <c r="G115" s="2" t="s">
        <v>377</v>
      </c>
      <c r="H115" s="2" t="s">
        <v>342</v>
      </c>
      <c r="I115" s="30">
        <v>10</v>
      </c>
      <c r="J115" s="30">
        <v>1.32</v>
      </c>
      <c r="K115" s="30"/>
      <c r="L115" s="2"/>
      <c r="M115" s="2"/>
      <c r="N115" s="2"/>
      <c r="O115" s="30" t="s">
        <v>160</v>
      </c>
      <c r="P115" s="30"/>
      <c r="Q115" s="2"/>
      <c r="R115" s="2"/>
      <c r="S115" s="4" t="s">
        <v>395</v>
      </c>
      <c r="T115" s="4"/>
    </row>
    <row r="116" spans="1:20" ht="27">
      <c r="A116" s="1">
        <v>115</v>
      </c>
      <c r="B116" s="1" t="s">
        <v>532</v>
      </c>
      <c r="C116" s="1" t="s">
        <v>552</v>
      </c>
      <c r="D116" s="1">
        <f t="shared" si="3"/>
        <v>10</v>
      </c>
      <c r="E116" s="1" t="str">
        <f t="shared" si="2"/>
        <v>SFR-014-010</v>
      </c>
      <c r="F116" s="4" t="s">
        <v>1050</v>
      </c>
      <c r="G116" s="2" t="s">
        <v>380</v>
      </c>
      <c r="H116" s="2"/>
      <c r="I116" s="30"/>
      <c r="J116" s="30"/>
      <c r="K116" s="30" t="s">
        <v>481</v>
      </c>
      <c r="L116" s="2"/>
      <c r="M116" s="2"/>
      <c r="N116" s="2"/>
      <c r="O116" s="30" t="s">
        <v>160</v>
      </c>
      <c r="P116" s="30"/>
      <c r="Q116" s="2"/>
      <c r="R116" s="2" t="s">
        <v>409</v>
      </c>
      <c r="S116" s="4" t="s">
        <v>1080</v>
      </c>
      <c r="T116" s="4"/>
    </row>
    <row r="117" spans="1:20" ht="67.5">
      <c r="A117" s="1">
        <v>116</v>
      </c>
      <c r="B117" s="1" t="s">
        <v>532</v>
      </c>
      <c r="C117" s="1" t="s">
        <v>541</v>
      </c>
      <c r="D117" s="1">
        <f t="shared" si="3"/>
        <v>1</v>
      </c>
      <c r="E117" s="1" t="str">
        <f t="shared" si="2"/>
        <v>SFR-015-001</v>
      </c>
      <c r="F117" s="4" t="s">
        <v>543</v>
      </c>
      <c r="G117" s="2" t="s">
        <v>237</v>
      </c>
      <c r="H117" s="36" t="s">
        <v>18</v>
      </c>
      <c r="I117" s="30"/>
      <c r="J117" s="30"/>
      <c r="K117" s="30" t="s">
        <v>481</v>
      </c>
      <c r="L117" s="2"/>
      <c r="M117" s="2"/>
      <c r="N117" s="2"/>
      <c r="O117" s="30" t="s">
        <v>160</v>
      </c>
      <c r="P117" s="30"/>
      <c r="Q117" s="2"/>
      <c r="R117" s="2" t="s">
        <v>102</v>
      </c>
      <c r="S117" s="4"/>
      <c r="T117" s="4"/>
    </row>
    <row r="118" spans="1:20" ht="27">
      <c r="A118" s="1">
        <v>117</v>
      </c>
      <c r="B118" s="1" t="s">
        <v>532</v>
      </c>
      <c r="C118" s="1" t="s">
        <v>541</v>
      </c>
      <c r="D118" s="1">
        <f t="shared" si="3"/>
        <v>2</v>
      </c>
      <c r="E118" s="1" t="str">
        <f t="shared" si="2"/>
        <v>SFR-015-002</v>
      </c>
      <c r="F118" s="4" t="s">
        <v>543</v>
      </c>
      <c r="G118" s="2" t="s">
        <v>301</v>
      </c>
      <c r="H118" s="36" t="s">
        <v>248</v>
      </c>
      <c r="I118" s="30"/>
      <c r="J118" s="30"/>
      <c r="K118" s="30" t="s">
        <v>481</v>
      </c>
      <c r="L118" s="2"/>
      <c r="M118" s="2"/>
      <c r="N118" s="2"/>
      <c r="O118" s="30" t="s">
        <v>160</v>
      </c>
      <c r="P118" s="30"/>
      <c r="Q118" s="2"/>
      <c r="R118" s="2" t="s">
        <v>593</v>
      </c>
      <c r="S118" s="4"/>
      <c r="T118" s="4"/>
    </row>
    <row r="119" spans="1:20" ht="27">
      <c r="A119" s="1">
        <v>118</v>
      </c>
      <c r="B119" s="1" t="s">
        <v>532</v>
      </c>
      <c r="C119" s="1" t="s">
        <v>541</v>
      </c>
      <c r="D119" s="1">
        <f t="shared" si="3"/>
        <v>3</v>
      </c>
      <c r="E119" s="1" t="str">
        <f t="shared" si="2"/>
        <v>SFR-015-003</v>
      </c>
      <c r="F119" s="4" t="s">
        <v>543</v>
      </c>
      <c r="G119" s="2" t="s">
        <v>297</v>
      </c>
      <c r="H119" s="2"/>
      <c r="I119" s="30"/>
      <c r="J119" s="30"/>
      <c r="K119" s="30" t="s">
        <v>481</v>
      </c>
      <c r="L119" s="2"/>
      <c r="M119" s="2"/>
      <c r="N119" s="2"/>
      <c r="O119" s="30" t="s">
        <v>160</v>
      </c>
      <c r="P119" s="30"/>
      <c r="Q119" s="2"/>
      <c r="R119" s="2" t="s">
        <v>592</v>
      </c>
      <c r="S119" s="4"/>
      <c r="T119" s="4"/>
    </row>
    <row r="120" spans="1:20" ht="27">
      <c r="A120" s="1">
        <v>119</v>
      </c>
      <c r="B120" s="1" t="s">
        <v>532</v>
      </c>
      <c r="C120" s="1" t="s">
        <v>541</v>
      </c>
      <c r="D120" s="1">
        <f t="shared" si="3"/>
        <v>4</v>
      </c>
      <c r="E120" s="1" t="str">
        <f t="shared" si="2"/>
        <v>SFR-015-004</v>
      </c>
      <c r="F120" s="4" t="s">
        <v>543</v>
      </c>
      <c r="G120" s="2" t="s">
        <v>233</v>
      </c>
      <c r="H120" s="2" t="s">
        <v>215</v>
      </c>
      <c r="I120" s="30"/>
      <c r="J120" s="30"/>
      <c r="K120" s="30" t="s">
        <v>481</v>
      </c>
      <c r="L120" s="2"/>
      <c r="M120" s="2"/>
      <c r="N120" s="2"/>
      <c r="O120" s="30" t="s">
        <v>160</v>
      </c>
      <c r="P120" s="30"/>
      <c r="Q120" s="2"/>
      <c r="R120" s="2" t="s">
        <v>702</v>
      </c>
      <c r="S120" s="4" t="s">
        <v>1079</v>
      </c>
      <c r="T120" s="4"/>
    </row>
    <row r="121" spans="1:20" ht="27">
      <c r="A121" s="1">
        <v>120</v>
      </c>
      <c r="B121" s="1" t="s">
        <v>532</v>
      </c>
      <c r="C121" s="1" t="s">
        <v>541</v>
      </c>
      <c r="D121" s="1">
        <f t="shared" si="3"/>
        <v>5</v>
      </c>
      <c r="E121" s="1" t="str">
        <f t="shared" si="2"/>
        <v>SFR-015-005</v>
      </c>
      <c r="F121" s="4"/>
      <c r="G121" s="2"/>
      <c r="H121" s="2" t="s">
        <v>396</v>
      </c>
      <c r="I121" s="30">
        <v>10</v>
      </c>
      <c r="J121" s="30">
        <v>1.33</v>
      </c>
      <c r="K121" s="30"/>
      <c r="L121" s="2"/>
      <c r="M121" s="2"/>
      <c r="N121" s="2"/>
      <c r="O121" s="30" t="s">
        <v>160</v>
      </c>
      <c r="P121" s="30"/>
      <c r="Q121" s="2"/>
      <c r="R121" s="2"/>
      <c r="S121" s="4"/>
      <c r="T121" s="4"/>
    </row>
    <row r="122" spans="1:20" ht="54">
      <c r="A122" s="1">
        <v>121</v>
      </c>
      <c r="B122" s="1" t="s">
        <v>532</v>
      </c>
      <c r="C122" s="1" t="s">
        <v>541</v>
      </c>
      <c r="D122" s="1">
        <f t="shared" si="3"/>
        <v>6</v>
      </c>
      <c r="E122" s="1" t="str">
        <f t="shared" si="2"/>
        <v>SFR-015-006</v>
      </c>
      <c r="F122" s="4" t="s">
        <v>543</v>
      </c>
      <c r="G122" s="2" t="s">
        <v>25</v>
      </c>
      <c r="H122" s="2" t="s">
        <v>342</v>
      </c>
      <c r="I122" s="30">
        <v>10</v>
      </c>
      <c r="J122" s="30">
        <v>1.34</v>
      </c>
      <c r="K122" s="30"/>
      <c r="L122" s="2"/>
      <c r="M122" s="2"/>
      <c r="N122" s="2"/>
      <c r="O122" s="30" t="s">
        <v>160</v>
      </c>
      <c r="P122" s="30"/>
      <c r="Q122" s="2"/>
      <c r="R122" s="2"/>
      <c r="S122" s="4" t="s">
        <v>395</v>
      </c>
      <c r="T122" s="4"/>
    </row>
    <row r="123" spans="1:20" ht="27">
      <c r="A123" s="1">
        <v>122</v>
      </c>
      <c r="B123" s="1" t="s">
        <v>532</v>
      </c>
      <c r="C123" s="1" t="s">
        <v>541</v>
      </c>
      <c r="D123" s="1">
        <f t="shared" si="3"/>
        <v>7</v>
      </c>
      <c r="E123" s="1" t="str">
        <f t="shared" si="2"/>
        <v>SFR-015-007</v>
      </c>
      <c r="F123" s="4" t="s">
        <v>543</v>
      </c>
      <c r="G123" s="2" t="s">
        <v>380</v>
      </c>
      <c r="H123" s="2"/>
      <c r="I123" s="30"/>
      <c r="J123" s="30"/>
      <c r="K123" s="30" t="s">
        <v>481</v>
      </c>
      <c r="L123" s="2"/>
      <c r="M123" s="2"/>
      <c r="N123" s="2"/>
      <c r="O123" s="30" t="s">
        <v>160</v>
      </c>
      <c r="P123" s="30"/>
      <c r="Q123" s="2"/>
      <c r="R123" s="2" t="s">
        <v>409</v>
      </c>
      <c r="S123" s="4" t="s">
        <v>1080</v>
      </c>
      <c r="T123" s="4"/>
    </row>
    <row r="124" spans="1:20" ht="27">
      <c r="A124" s="1">
        <v>123</v>
      </c>
      <c r="B124" s="1" t="s">
        <v>532</v>
      </c>
      <c r="C124" s="1" t="s">
        <v>531</v>
      </c>
      <c r="D124" s="1">
        <f t="shared" si="3"/>
        <v>1</v>
      </c>
      <c r="E124" s="1" t="str">
        <f t="shared" si="2"/>
        <v>SFR-016-001</v>
      </c>
      <c r="F124" s="4" t="s">
        <v>685</v>
      </c>
      <c r="G124" s="2" t="s">
        <v>747</v>
      </c>
      <c r="H124" s="2" t="s">
        <v>643</v>
      </c>
      <c r="I124" s="30"/>
      <c r="J124" s="30"/>
      <c r="K124" s="30" t="s">
        <v>481</v>
      </c>
      <c r="L124" s="2"/>
      <c r="M124" s="2"/>
      <c r="N124" s="2"/>
      <c r="O124" s="30" t="s">
        <v>160</v>
      </c>
      <c r="P124" s="30"/>
      <c r="Q124" s="2"/>
      <c r="R124" s="2" t="s">
        <v>725</v>
      </c>
      <c r="S124" s="4"/>
      <c r="T124" s="4"/>
    </row>
    <row r="125" spans="1:20" ht="27">
      <c r="A125" s="1">
        <v>124</v>
      </c>
      <c r="B125" s="1" t="s">
        <v>532</v>
      </c>
      <c r="C125" s="1" t="s">
        <v>531</v>
      </c>
      <c r="D125" s="1">
        <f t="shared" si="3"/>
        <v>2</v>
      </c>
      <c r="E125" s="1" t="str">
        <f t="shared" si="2"/>
        <v>SFR-016-002</v>
      </c>
      <c r="F125" s="4" t="s">
        <v>685</v>
      </c>
      <c r="G125" s="2" t="s">
        <v>162</v>
      </c>
      <c r="H125" s="2"/>
      <c r="I125" s="30"/>
      <c r="J125" s="30"/>
      <c r="K125" s="30" t="s">
        <v>481</v>
      </c>
      <c r="L125" s="2"/>
      <c r="M125" s="2"/>
      <c r="N125" s="2"/>
      <c r="O125" s="30" t="s">
        <v>160</v>
      </c>
      <c r="P125" s="30"/>
      <c r="Q125" s="2"/>
      <c r="R125" s="2" t="s">
        <v>62</v>
      </c>
      <c r="S125" s="4"/>
      <c r="T125" s="4"/>
    </row>
    <row r="126" spans="1:20" ht="40.5">
      <c r="A126" s="1">
        <v>125</v>
      </c>
      <c r="B126" s="1" t="s">
        <v>532</v>
      </c>
      <c r="C126" s="1" t="s">
        <v>531</v>
      </c>
      <c r="D126" s="1">
        <f t="shared" si="3"/>
        <v>3</v>
      </c>
      <c r="E126" s="1" t="str">
        <f t="shared" si="2"/>
        <v>SFR-016-003</v>
      </c>
      <c r="F126" s="4" t="s">
        <v>685</v>
      </c>
      <c r="G126" s="2" t="s">
        <v>55</v>
      </c>
      <c r="H126" s="2" t="s">
        <v>1184</v>
      </c>
      <c r="I126" s="30">
        <v>10</v>
      </c>
      <c r="J126" s="30">
        <v>1.35</v>
      </c>
      <c r="K126" s="30"/>
      <c r="L126" s="2"/>
      <c r="M126" s="2"/>
      <c r="N126" s="2"/>
      <c r="O126" s="30" t="s">
        <v>160</v>
      </c>
      <c r="P126" s="30"/>
      <c r="Q126" s="2"/>
      <c r="R126" s="2" t="s">
        <v>602</v>
      </c>
      <c r="S126" s="4"/>
      <c r="T126" s="4"/>
    </row>
    <row r="127" spans="1:20" ht="27">
      <c r="A127" s="1">
        <v>126</v>
      </c>
      <c r="B127" s="1" t="s">
        <v>532</v>
      </c>
      <c r="C127" s="1" t="s">
        <v>531</v>
      </c>
      <c r="D127" s="1">
        <f t="shared" si="3"/>
        <v>4</v>
      </c>
      <c r="E127" s="1" t="str">
        <f t="shared" si="2"/>
        <v>SFR-016-004</v>
      </c>
      <c r="F127" s="4" t="s">
        <v>685</v>
      </c>
      <c r="G127" s="2" t="s">
        <v>380</v>
      </c>
      <c r="H127" s="2"/>
      <c r="I127" s="30"/>
      <c r="J127" s="30"/>
      <c r="K127" s="30" t="s">
        <v>481</v>
      </c>
      <c r="L127" s="2"/>
      <c r="M127" s="2"/>
      <c r="N127" s="2"/>
      <c r="O127" s="30" t="s">
        <v>160</v>
      </c>
      <c r="P127" s="30"/>
      <c r="Q127" s="2"/>
      <c r="R127" s="2" t="s">
        <v>409</v>
      </c>
      <c r="S127" s="4" t="s">
        <v>1080</v>
      </c>
      <c r="T127" s="4"/>
    </row>
    <row r="128" spans="1:20" ht="67.5">
      <c r="A128" s="1">
        <v>127</v>
      </c>
      <c r="B128" s="1" t="s">
        <v>532</v>
      </c>
      <c r="C128" s="1" t="s">
        <v>527</v>
      </c>
      <c r="D128" s="1">
        <f t="shared" si="3"/>
        <v>1</v>
      </c>
      <c r="E128" s="1" t="str">
        <f t="shared" si="2"/>
        <v>SFR-017-001</v>
      </c>
      <c r="F128" s="4" t="s">
        <v>705</v>
      </c>
      <c r="G128" s="2" t="s">
        <v>735</v>
      </c>
      <c r="H128" s="2" t="s">
        <v>94</v>
      </c>
      <c r="I128" s="30"/>
      <c r="J128" s="30"/>
      <c r="K128" s="30" t="s">
        <v>481</v>
      </c>
      <c r="L128" s="2"/>
      <c r="M128" s="2"/>
      <c r="N128" s="2"/>
      <c r="O128" s="30" t="s">
        <v>160</v>
      </c>
      <c r="P128" s="30"/>
      <c r="Q128" s="2"/>
      <c r="R128" s="2"/>
      <c r="S128" s="4" t="s">
        <v>597</v>
      </c>
      <c r="T128" s="4"/>
    </row>
    <row r="129" spans="1:20" ht="81">
      <c r="A129" s="1">
        <v>128</v>
      </c>
      <c r="B129" s="1" t="s">
        <v>532</v>
      </c>
      <c r="C129" s="1" t="s">
        <v>527</v>
      </c>
      <c r="D129" s="1">
        <f t="shared" si="3"/>
        <v>2</v>
      </c>
      <c r="E129" s="1" t="str">
        <f t="shared" si="2"/>
        <v>SFR-017-002</v>
      </c>
      <c r="F129" s="4" t="s">
        <v>705</v>
      </c>
      <c r="G129" s="2" t="s">
        <v>735</v>
      </c>
      <c r="H129" s="36" t="s">
        <v>83</v>
      </c>
      <c r="I129" s="30"/>
      <c r="J129" s="30"/>
      <c r="K129" s="30" t="s">
        <v>481</v>
      </c>
      <c r="L129" s="2"/>
      <c r="M129" s="2"/>
      <c r="N129" s="2"/>
      <c r="O129" s="30" t="s">
        <v>160</v>
      </c>
      <c r="P129" s="30"/>
      <c r="Q129" s="2"/>
      <c r="R129" s="2"/>
      <c r="S129" s="4"/>
      <c r="T129" s="4"/>
    </row>
    <row r="130" spans="1:20" ht="27">
      <c r="A130" s="1">
        <v>129</v>
      </c>
      <c r="B130" s="1" t="s">
        <v>532</v>
      </c>
      <c r="C130" s="1" t="s">
        <v>527</v>
      </c>
      <c r="D130" s="1">
        <f t="shared" si="3"/>
        <v>3</v>
      </c>
      <c r="E130" s="1" t="str">
        <f t="shared" si="2"/>
        <v>SFR-017-003</v>
      </c>
      <c r="F130" s="4" t="s">
        <v>705</v>
      </c>
      <c r="G130" s="2" t="s">
        <v>735</v>
      </c>
      <c r="H130" s="36" t="s">
        <v>202</v>
      </c>
      <c r="I130" s="30"/>
      <c r="J130" s="30"/>
      <c r="K130" s="30" t="s">
        <v>481</v>
      </c>
      <c r="L130" s="2"/>
      <c r="M130" s="2"/>
      <c r="N130" s="2"/>
      <c r="O130" s="30" t="s">
        <v>160</v>
      </c>
      <c r="P130" s="30"/>
      <c r="Q130" s="2"/>
      <c r="R130" s="2"/>
      <c r="S130" s="4"/>
      <c r="T130" s="4"/>
    </row>
    <row r="131" spans="1:20" ht="27">
      <c r="A131" s="1">
        <v>130</v>
      </c>
      <c r="B131" s="1" t="s">
        <v>532</v>
      </c>
      <c r="C131" s="1" t="s">
        <v>527</v>
      </c>
      <c r="D131" s="1">
        <f t="shared" si="3"/>
        <v>4</v>
      </c>
      <c r="E131" s="1" t="str">
        <f t="shared" ref="E131:E194" si="4">C131&amp;"-"&amp;TEXT(D131,"000")</f>
        <v>SFR-017-004</v>
      </c>
      <c r="F131" s="4" t="s">
        <v>705</v>
      </c>
      <c r="G131" s="2" t="s">
        <v>178</v>
      </c>
      <c r="H131" s="36" t="s">
        <v>235</v>
      </c>
      <c r="I131" s="30">
        <v>10</v>
      </c>
      <c r="J131" s="30">
        <v>1.36</v>
      </c>
      <c r="K131" s="30"/>
      <c r="L131" s="2"/>
      <c r="M131" s="2"/>
      <c r="N131" s="2"/>
      <c r="O131" s="30" t="s">
        <v>160</v>
      </c>
      <c r="P131" s="30"/>
      <c r="Q131" s="2"/>
      <c r="R131" s="2"/>
      <c r="S131" s="4"/>
      <c r="T131" s="4"/>
    </row>
    <row r="132" spans="1:20" ht="27">
      <c r="A132" s="1">
        <v>131</v>
      </c>
      <c r="B132" s="1" t="s">
        <v>532</v>
      </c>
      <c r="C132" s="1" t="s">
        <v>527</v>
      </c>
      <c r="D132" s="1">
        <f t="shared" ref="D132:D195" si="5">IF(C131=C132,D131+1,1)</f>
        <v>5</v>
      </c>
      <c r="E132" s="1" t="str">
        <f t="shared" si="4"/>
        <v>SFR-017-005</v>
      </c>
      <c r="F132" s="4" t="s">
        <v>705</v>
      </c>
      <c r="G132" s="2" t="s">
        <v>178</v>
      </c>
      <c r="H132" s="36" t="s">
        <v>369</v>
      </c>
      <c r="I132" s="30">
        <v>10</v>
      </c>
      <c r="J132" s="30">
        <v>1.37</v>
      </c>
      <c r="K132" s="30"/>
      <c r="L132" s="2"/>
      <c r="M132" s="2"/>
      <c r="N132" s="2"/>
      <c r="O132" s="30" t="s">
        <v>160</v>
      </c>
      <c r="P132" s="30"/>
      <c r="Q132" s="2"/>
      <c r="R132" s="2"/>
      <c r="S132" s="4"/>
      <c r="T132" s="4"/>
    </row>
    <row r="133" spans="1:20" ht="54">
      <c r="A133" s="1">
        <v>132</v>
      </c>
      <c r="B133" s="1" t="s">
        <v>532</v>
      </c>
      <c r="C133" s="1" t="s">
        <v>527</v>
      </c>
      <c r="D133" s="1">
        <f t="shared" si="5"/>
        <v>6</v>
      </c>
      <c r="E133" s="1" t="str">
        <f t="shared" si="4"/>
        <v>SFR-017-006</v>
      </c>
      <c r="F133" s="4" t="s">
        <v>705</v>
      </c>
      <c r="G133" s="2" t="s">
        <v>178</v>
      </c>
      <c r="H133" s="2" t="s">
        <v>200</v>
      </c>
      <c r="I133" s="30">
        <v>10</v>
      </c>
      <c r="J133" s="30">
        <v>1.38</v>
      </c>
      <c r="K133" s="30"/>
      <c r="L133" s="2"/>
      <c r="M133" s="2"/>
      <c r="N133" s="2"/>
      <c r="O133" s="30" t="s">
        <v>160</v>
      </c>
      <c r="P133" s="30"/>
      <c r="Q133" s="2"/>
      <c r="R133" s="2"/>
      <c r="S133" s="4"/>
      <c r="T133" s="4"/>
    </row>
    <row r="134" spans="1:20" ht="27">
      <c r="A134" s="1">
        <v>133</v>
      </c>
      <c r="B134" s="1" t="s">
        <v>532</v>
      </c>
      <c r="C134" s="1" t="s">
        <v>527</v>
      </c>
      <c r="D134" s="1">
        <f t="shared" si="5"/>
        <v>7</v>
      </c>
      <c r="E134" s="1" t="str">
        <f t="shared" si="4"/>
        <v>SFR-017-007</v>
      </c>
      <c r="F134" s="4" t="s">
        <v>705</v>
      </c>
      <c r="G134" s="2" t="s">
        <v>299</v>
      </c>
      <c r="H134" s="36" t="s">
        <v>370</v>
      </c>
      <c r="I134" s="30"/>
      <c r="J134" s="30"/>
      <c r="K134" s="30" t="s">
        <v>481</v>
      </c>
      <c r="L134" s="2"/>
      <c r="M134" s="2"/>
      <c r="N134" s="2"/>
      <c r="O134" s="30" t="s">
        <v>160</v>
      </c>
      <c r="P134" s="30"/>
      <c r="Q134" s="2"/>
      <c r="R134" s="2"/>
      <c r="S134" s="4"/>
      <c r="T134" s="4"/>
    </row>
    <row r="135" spans="1:20" ht="27">
      <c r="A135" s="1">
        <v>134</v>
      </c>
      <c r="B135" s="1" t="s">
        <v>532</v>
      </c>
      <c r="C135" s="1" t="s">
        <v>527</v>
      </c>
      <c r="D135" s="1">
        <f t="shared" si="5"/>
        <v>8</v>
      </c>
      <c r="E135" s="1" t="str">
        <f t="shared" si="4"/>
        <v>SFR-017-008</v>
      </c>
      <c r="F135" s="4" t="s">
        <v>705</v>
      </c>
      <c r="G135" s="2" t="s">
        <v>299</v>
      </c>
      <c r="H135" s="36" t="s">
        <v>293</v>
      </c>
      <c r="I135" s="30"/>
      <c r="J135" s="30"/>
      <c r="K135" s="30" t="s">
        <v>481</v>
      </c>
      <c r="L135" s="2"/>
      <c r="M135" s="2"/>
      <c r="N135" s="2"/>
      <c r="O135" s="30" t="s">
        <v>160</v>
      </c>
      <c r="P135" s="30"/>
      <c r="Q135" s="2"/>
      <c r="R135" s="2"/>
      <c r="S135" s="4"/>
      <c r="T135" s="4"/>
    </row>
    <row r="136" spans="1:20" ht="27">
      <c r="A136" s="1">
        <v>135</v>
      </c>
      <c r="B136" s="1" t="s">
        <v>532</v>
      </c>
      <c r="C136" s="1" t="s">
        <v>527</v>
      </c>
      <c r="D136" s="1">
        <f t="shared" si="5"/>
        <v>9</v>
      </c>
      <c r="E136" s="1" t="str">
        <f t="shared" si="4"/>
        <v>SFR-017-009</v>
      </c>
      <c r="F136" s="4" t="s">
        <v>705</v>
      </c>
      <c r="G136" s="2" t="s">
        <v>299</v>
      </c>
      <c r="H136" s="2" t="s">
        <v>294</v>
      </c>
      <c r="I136" s="30"/>
      <c r="J136" s="30"/>
      <c r="K136" s="30" t="s">
        <v>481</v>
      </c>
      <c r="L136" s="2"/>
      <c r="M136" s="2"/>
      <c r="N136" s="2"/>
      <c r="O136" s="30" t="s">
        <v>160</v>
      </c>
      <c r="P136" s="30"/>
      <c r="Q136" s="2"/>
      <c r="R136" s="2"/>
      <c r="S136" s="4"/>
      <c r="T136" s="4"/>
    </row>
    <row r="137" spans="1:20" ht="27">
      <c r="A137" s="1">
        <v>136</v>
      </c>
      <c r="B137" s="1" t="s">
        <v>532</v>
      </c>
      <c r="C137" s="1" t="s">
        <v>526</v>
      </c>
      <c r="D137" s="1">
        <f t="shared" si="5"/>
        <v>1</v>
      </c>
      <c r="E137" s="1" t="str">
        <f t="shared" si="4"/>
        <v>SFR-018-001</v>
      </c>
      <c r="F137" s="37" t="s">
        <v>449</v>
      </c>
      <c r="G137" s="2" t="s">
        <v>49</v>
      </c>
      <c r="H137" s="2" t="s">
        <v>227</v>
      </c>
      <c r="I137" s="30"/>
      <c r="J137" s="30"/>
      <c r="K137" s="30" t="s">
        <v>481</v>
      </c>
      <c r="L137" s="2"/>
      <c r="M137" s="2"/>
      <c r="N137" s="2"/>
      <c r="O137" s="30" t="s">
        <v>160</v>
      </c>
      <c r="P137" s="30"/>
      <c r="Q137" s="2"/>
      <c r="R137" s="2" t="s">
        <v>723</v>
      </c>
      <c r="S137" s="4" t="s">
        <v>759</v>
      </c>
      <c r="T137" s="4"/>
    </row>
    <row r="138" spans="1:20" ht="27">
      <c r="A138" s="1">
        <v>137</v>
      </c>
      <c r="B138" s="1" t="s">
        <v>532</v>
      </c>
      <c r="C138" s="1" t="s">
        <v>526</v>
      </c>
      <c r="D138" s="1">
        <f t="shared" si="5"/>
        <v>2</v>
      </c>
      <c r="E138" s="1" t="str">
        <f t="shared" si="4"/>
        <v>SFR-018-002</v>
      </c>
      <c r="F138" s="37" t="s">
        <v>449</v>
      </c>
      <c r="G138" s="2" t="s">
        <v>49</v>
      </c>
      <c r="H138" s="2" t="s">
        <v>207</v>
      </c>
      <c r="I138" s="30"/>
      <c r="J138" s="30"/>
      <c r="K138" s="30" t="s">
        <v>481</v>
      </c>
      <c r="L138" s="2"/>
      <c r="M138" s="2"/>
      <c r="N138" s="2"/>
      <c r="O138" s="30" t="s">
        <v>160</v>
      </c>
      <c r="P138" s="30"/>
      <c r="Q138" s="2"/>
      <c r="R138" s="2"/>
      <c r="S138" s="4"/>
      <c r="T138" s="4"/>
    </row>
    <row r="139" spans="1:20" ht="27">
      <c r="A139" s="1">
        <v>138</v>
      </c>
      <c r="B139" s="1" t="s">
        <v>532</v>
      </c>
      <c r="C139" s="1" t="s">
        <v>526</v>
      </c>
      <c r="D139" s="1">
        <f t="shared" si="5"/>
        <v>3</v>
      </c>
      <c r="E139" s="1" t="str">
        <f t="shared" si="4"/>
        <v>SFR-018-003</v>
      </c>
      <c r="F139" s="37" t="s">
        <v>449</v>
      </c>
      <c r="G139" s="2" t="s">
        <v>49</v>
      </c>
      <c r="H139" s="2" t="s">
        <v>574</v>
      </c>
      <c r="I139" s="30"/>
      <c r="J139" s="30"/>
      <c r="K139" s="30" t="s">
        <v>481</v>
      </c>
      <c r="L139" s="2"/>
      <c r="M139" s="2"/>
      <c r="N139" s="2"/>
      <c r="O139" s="30" t="s">
        <v>160</v>
      </c>
      <c r="P139" s="30"/>
      <c r="Q139" s="2"/>
      <c r="R139" s="2"/>
      <c r="S139" s="4"/>
      <c r="T139" s="4"/>
    </row>
    <row r="140" spans="1:20" ht="27">
      <c r="A140" s="1">
        <v>139</v>
      </c>
      <c r="B140" s="1" t="s">
        <v>532</v>
      </c>
      <c r="C140" s="1" t="s">
        <v>526</v>
      </c>
      <c r="D140" s="1">
        <f t="shared" si="5"/>
        <v>4</v>
      </c>
      <c r="E140" s="1" t="str">
        <f t="shared" si="4"/>
        <v>SFR-018-004</v>
      </c>
      <c r="F140" s="37" t="s">
        <v>449</v>
      </c>
      <c r="G140" s="2" t="s">
        <v>388</v>
      </c>
      <c r="H140" s="2" t="s">
        <v>74</v>
      </c>
      <c r="I140" s="30"/>
      <c r="J140" s="30"/>
      <c r="K140" s="30" t="s">
        <v>481</v>
      </c>
      <c r="L140" s="2"/>
      <c r="M140" s="2"/>
      <c r="N140" s="2"/>
      <c r="O140" s="30" t="s">
        <v>160</v>
      </c>
      <c r="P140" s="30"/>
      <c r="Q140" s="2"/>
      <c r="R140" s="2"/>
      <c r="S140" s="4"/>
      <c r="T140" s="4"/>
    </row>
    <row r="141" spans="1:20" ht="27">
      <c r="A141" s="1">
        <v>140</v>
      </c>
      <c r="B141" s="1" t="s">
        <v>532</v>
      </c>
      <c r="C141" s="1" t="s">
        <v>526</v>
      </c>
      <c r="D141" s="1">
        <f t="shared" si="5"/>
        <v>5</v>
      </c>
      <c r="E141" s="1" t="str">
        <f t="shared" si="4"/>
        <v>SFR-018-005</v>
      </c>
      <c r="F141" s="37" t="s">
        <v>449</v>
      </c>
      <c r="G141" s="2" t="s">
        <v>267</v>
      </c>
      <c r="H141" s="2" t="s">
        <v>283</v>
      </c>
      <c r="I141" s="30"/>
      <c r="J141" s="30"/>
      <c r="K141" s="30" t="s">
        <v>481</v>
      </c>
      <c r="L141" s="2"/>
      <c r="M141" s="2"/>
      <c r="N141" s="2"/>
      <c r="O141" s="30" t="s">
        <v>160</v>
      </c>
      <c r="P141" s="30"/>
      <c r="Q141" s="2"/>
      <c r="R141" s="2"/>
      <c r="S141" s="4"/>
      <c r="T141" s="4"/>
    </row>
    <row r="142" spans="1:20" ht="27">
      <c r="A142" s="1">
        <v>141</v>
      </c>
      <c r="B142" s="1" t="s">
        <v>532</v>
      </c>
      <c r="C142" s="1" t="s">
        <v>526</v>
      </c>
      <c r="D142" s="1">
        <f t="shared" si="5"/>
        <v>6</v>
      </c>
      <c r="E142" s="1" t="str">
        <f t="shared" si="4"/>
        <v>SFR-018-006</v>
      </c>
      <c r="F142" s="37" t="s">
        <v>449</v>
      </c>
      <c r="G142" s="2" t="s">
        <v>374</v>
      </c>
      <c r="H142" s="2" t="s">
        <v>228</v>
      </c>
      <c r="I142" s="30"/>
      <c r="J142" s="30"/>
      <c r="K142" s="30" t="s">
        <v>481</v>
      </c>
      <c r="L142" s="2"/>
      <c r="M142" s="2"/>
      <c r="N142" s="2"/>
      <c r="O142" s="30" t="s">
        <v>160</v>
      </c>
      <c r="P142" s="30"/>
      <c r="Q142" s="2"/>
      <c r="R142" s="2"/>
      <c r="S142" s="4"/>
      <c r="T142" s="4"/>
    </row>
    <row r="143" spans="1:20" ht="27">
      <c r="A143" s="1">
        <v>142</v>
      </c>
      <c r="B143" s="1" t="s">
        <v>447</v>
      </c>
      <c r="C143" s="1" t="s">
        <v>530</v>
      </c>
      <c r="D143" s="1">
        <f t="shared" si="5"/>
        <v>1</v>
      </c>
      <c r="E143" s="1" t="str">
        <f t="shared" si="4"/>
        <v>SFR-019-001</v>
      </c>
      <c r="F143" s="4" t="s">
        <v>1065</v>
      </c>
      <c r="G143" s="2" t="s">
        <v>582</v>
      </c>
      <c r="H143" s="2" t="s">
        <v>240</v>
      </c>
      <c r="I143" s="30">
        <v>10</v>
      </c>
      <c r="J143" s="30">
        <v>1.39</v>
      </c>
      <c r="K143" s="30" t="s">
        <v>479</v>
      </c>
      <c r="L143" s="2"/>
      <c r="M143" s="2"/>
      <c r="N143" s="2"/>
      <c r="O143" s="30" t="s">
        <v>160</v>
      </c>
      <c r="P143" s="30"/>
      <c r="Q143" s="2"/>
      <c r="R143" s="2" t="s">
        <v>742</v>
      </c>
      <c r="S143" s="4"/>
      <c r="T143" s="4"/>
    </row>
    <row r="144" spans="1:20" ht="27">
      <c r="A144" s="1">
        <v>143</v>
      </c>
      <c r="B144" s="1" t="s">
        <v>447</v>
      </c>
      <c r="C144" s="1" t="s">
        <v>530</v>
      </c>
      <c r="D144" s="1">
        <f t="shared" si="5"/>
        <v>2</v>
      </c>
      <c r="E144" s="1" t="str">
        <f t="shared" si="4"/>
        <v>SFR-019-002</v>
      </c>
      <c r="F144" s="4" t="s">
        <v>1065</v>
      </c>
      <c r="G144" s="2" t="s">
        <v>730</v>
      </c>
      <c r="H144" s="2" t="s">
        <v>13</v>
      </c>
      <c r="I144" s="30"/>
      <c r="J144" s="30"/>
      <c r="K144" s="30" t="s">
        <v>481</v>
      </c>
      <c r="L144" s="2"/>
      <c r="M144" s="2"/>
      <c r="N144" s="2"/>
      <c r="O144" s="30" t="s">
        <v>160</v>
      </c>
      <c r="P144" s="30"/>
      <c r="Q144" s="2"/>
      <c r="R144" s="2" t="s">
        <v>354</v>
      </c>
      <c r="S144" s="4"/>
      <c r="T144" s="4"/>
    </row>
    <row r="145" spans="1:20">
      <c r="A145" s="1">
        <v>144</v>
      </c>
      <c r="B145" s="1" t="s">
        <v>447</v>
      </c>
      <c r="C145" s="1" t="s">
        <v>530</v>
      </c>
      <c r="D145" s="1">
        <f t="shared" si="5"/>
        <v>3</v>
      </c>
      <c r="E145" s="1" t="str">
        <f t="shared" si="4"/>
        <v>SFR-019-003</v>
      </c>
      <c r="F145" s="4" t="s">
        <v>1065</v>
      </c>
      <c r="G145" s="2" t="s">
        <v>730</v>
      </c>
      <c r="H145" s="2" t="s">
        <v>746</v>
      </c>
      <c r="I145" s="30">
        <v>10</v>
      </c>
      <c r="J145" s="32" t="s">
        <v>497</v>
      </c>
      <c r="K145" s="30" t="s">
        <v>479</v>
      </c>
      <c r="L145" s="2"/>
      <c r="M145" s="2"/>
      <c r="N145" s="2"/>
      <c r="O145" s="30" t="s">
        <v>160</v>
      </c>
      <c r="P145" s="30"/>
      <c r="Q145" s="2"/>
      <c r="R145" s="2"/>
      <c r="S145" s="4"/>
      <c r="T145" s="4"/>
    </row>
    <row r="146" spans="1:20" ht="94.5">
      <c r="A146" s="1">
        <v>145</v>
      </c>
      <c r="B146" s="1" t="s">
        <v>447</v>
      </c>
      <c r="C146" s="1" t="s">
        <v>530</v>
      </c>
      <c r="D146" s="1">
        <f t="shared" si="5"/>
        <v>4</v>
      </c>
      <c r="E146" s="1" t="str">
        <f t="shared" si="4"/>
        <v>SFR-019-004</v>
      </c>
      <c r="F146" s="4" t="s">
        <v>1065</v>
      </c>
      <c r="G146" s="2" t="s">
        <v>730</v>
      </c>
      <c r="H146" s="36" t="s">
        <v>650</v>
      </c>
      <c r="I146" s="30">
        <v>10</v>
      </c>
      <c r="J146" s="30">
        <v>1.41</v>
      </c>
      <c r="K146" s="30"/>
      <c r="L146" s="2"/>
      <c r="M146" s="2"/>
      <c r="N146" s="2"/>
      <c r="O146" s="30" t="s">
        <v>160</v>
      </c>
      <c r="P146" s="30"/>
      <c r="Q146" s="2"/>
      <c r="R146" s="2"/>
      <c r="S146" s="4"/>
      <c r="T146" s="4"/>
    </row>
    <row r="147" spans="1:20" ht="27">
      <c r="A147" s="1">
        <v>146</v>
      </c>
      <c r="B147" s="1" t="s">
        <v>447</v>
      </c>
      <c r="C147" s="1" t="s">
        <v>530</v>
      </c>
      <c r="D147" s="1">
        <f t="shared" si="5"/>
        <v>5</v>
      </c>
      <c r="E147" s="1" t="str">
        <f t="shared" si="4"/>
        <v>SFR-019-005</v>
      </c>
      <c r="F147" s="4" t="s">
        <v>1065</v>
      </c>
      <c r="G147" s="2" t="s">
        <v>425</v>
      </c>
      <c r="H147" s="2" t="s">
        <v>750</v>
      </c>
      <c r="I147" s="30">
        <v>10</v>
      </c>
      <c r="J147" s="30">
        <v>1.42</v>
      </c>
      <c r="K147" s="30"/>
      <c r="L147" s="2"/>
      <c r="M147" s="2"/>
      <c r="N147" s="2"/>
      <c r="O147" s="30" t="s">
        <v>160</v>
      </c>
      <c r="P147" s="30"/>
      <c r="Q147" s="2"/>
      <c r="R147" s="2" t="s">
        <v>107</v>
      </c>
      <c r="S147" s="4"/>
      <c r="T147" s="4" t="s">
        <v>483</v>
      </c>
    </row>
    <row r="148" spans="1:20">
      <c r="A148" s="1">
        <v>147</v>
      </c>
      <c r="B148" s="1" t="s">
        <v>447</v>
      </c>
      <c r="C148" s="1" t="s">
        <v>530</v>
      </c>
      <c r="D148" s="1">
        <f t="shared" si="5"/>
        <v>6</v>
      </c>
      <c r="E148" s="1" t="str">
        <f t="shared" si="4"/>
        <v>SFR-019-006</v>
      </c>
      <c r="F148" s="4" t="s">
        <v>1065</v>
      </c>
      <c r="G148" s="2" t="s">
        <v>425</v>
      </c>
      <c r="H148" s="2" t="s">
        <v>749</v>
      </c>
      <c r="I148" s="30">
        <v>10</v>
      </c>
      <c r="J148" s="30">
        <v>1.43</v>
      </c>
      <c r="K148" s="30"/>
      <c r="L148" s="2"/>
      <c r="M148" s="2"/>
      <c r="N148" s="2"/>
      <c r="O148" s="30" t="s">
        <v>160</v>
      </c>
      <c r="P148" s="30"/>
      <c r="Q148" s="2"/>
      <c r="R148" s="2"/>
      <c r="S148" s="4"/>
      <c r="T148" s="4"/>
    </row>
    <row r="149" spans="1:20" ht="40.5">
      <c r="A149" s="1">
        <v>148</v>
      </c>
      <c r="B149" s="1" t="s">
        <v>447</v>
      </c>
      <c r="C149" s="1" t="s">
        <v>530</v>
      </c>
      <c r="D149" s="1">
        <f t="shared" si="5"/>
        <v>7</v>
      </c>
      <c r="E149" s="1" t="str">
        <f t="shared" si="4"/>
        <v>SFR-019-007</v>
      </c>
      <c r="F149" s="4" t="s">
        <v>1065</v>
      </c>
      <c r="G149" s="2" t="s">
        <v>425</v>
      </c>
      <c r="H149" s="2" t="s">
        <v>341</v>
      </c>
      <c r="I149" s="30"/>
      <c r="J149" s="30"/>
      <c r="K149" s="30" t="s">
        <v>481</v>
      </c>
      <c r="L149" s="2"/>
      <c r="M149" s="2"/>
      <c r="N149" s="2"/>
      <c r="O149" s="30" t="s">
        <v>160</v>
      </c>
      <c r="P149" s="30"/>
      <c r="Q149" s="2"/>
      <c r="R149" s="2"/>
      <c r="S149" s="4"/>
      <c r="T149" s="4"/>
    </row>
    <row r="150" spans="1:20" ht="54">
      <c r="A150" s="1">
        <v>149</v>
      </c>
      <c r="B150" s="1" t="s">
        <v>447</v>
      </c>
      <c r="C150" s="1" t="s">
        <v>530</v>
      </c>
      <c r="D150" s="1">
        <f t="shared" si="5"/>
        <v>8</v>
      </c>
      <c r="E150" s="1" t="str">
        <f t="shared" si="4"/>
        <v>SFR-019-008</v>
      </c>
      <c r="F150" s="4" t="s">
        <v>1065</v>
      </c>
      <c r="G150" s="2" t="s">
        <v>310</v>
      </c>
      <c r="H150" s="2" t="s">
        <v>324</v>
      </c>
      <c r="I150" s="30">
        <v>10</v>
      </c>
      <c r="J150" s="30">
        <v>1.44</v>
      </c>
      <c r="K150" s="30"/>
      <c r="L150" s="2"/>
      <c r="M150" s="2"/>
      <c r="N150" s="2"/>
      <c r="O150" s="30" t="s">
        <v>160</v>
      </c>
      <c r="P150" s="30"/>
      <c r="Q150" s="2"/>
      <c r="R150" s="2"/>
      <c r="S150" s="4" t="s">
        <v>1079</v>
      </c>
      <c r="T150" s="4"/>
    </row>
    <row r="151" spans="1:20" ht="40.5">
      <c r="A151" s="1">
        <v>150</v>
      </c>
      <c r="B151" s="1" t="s">
        <v>447</v>
      </c>
      <c r="C151" s="1" t="s">
        <v>530</v>
      </c>
      <c r="D151" s="1">
        <f t="shared" si="5"/>
        <v>9</v>
      </c>
      <c r="E151" s="1" t="str">
        <f t="shared" si="4"/>
        <v>SFR-019-009</v>
      </c>
      <c r="F151" s="4" t="s">
        <v>1065</v>
      </c>
      <c r="G151" s="2" t="s">
        <v>310</v>
      </c>
      <c r="H151" s="2" t="s">
        <v>9</v>
      </c>
      <c r="I151" s="30">
        <v>10</v>
      </c>
      <c r="J151" s="30">
        <v>1.45</v>
      </c>
      <c r="K151" s="30"/>
      <c r="L151" s="2"/>
      <c r="M151" s="2"/>
      <c r="N151" s="2"/>
      <c r="O151" s="30" t="s">
        <v>160</v>
      </c>
      <c r="P151" s="30"/>
      <c r="Q151" s="2"/>
      <c r="R151" s="2"/>
      <c r="S151" s="4"/>
      <c r="T151" s="4"/>
    </row>
    <row r="152" spans="1:20" ht="40.5">
      <c r="A152" s="1">
        <v>151</v>
      </c>
      <c r="B152" s="1" t="s">
        <v>447</v>
      </c>
      <c r="C152" s="1" t="s">
        <v>530</v>
      </c>
      <c r="D152" s="1">
        <f t="shared" si="5"/>
        <v>10</v>
      </c>
      <c r="E152" s="1" t="str">
        <f t="shared" si="4"/>
        <v>SFR-019-010</v>
      </c>
      <c r="F152" s="4" t="s">
        <v>1065</v>
      </c>
      <c r="G152" s="2" t="s">
        <v>310</v>
      </c>
      <c r="H152" s="2" t="s">
        <v>320</v>
      </c>
      <c r="I152" s="30">
        <v>10</v>
      </c>
      <c r="J152" s="30">
        <v>1.46</v>
      </c>
      <c r="K152" s="30" t="s">
        <v>479</v>
      </c>
      <c r="L152" s="2"/>
      <c r="M152" s="2"/>
      <c r="N152" s="2"/>
      <c r="O152" s="30" t="s">
        <v>160</v>
      </c>
      <c r="P152" s="30"/>
      <c r="Q152" s="2"/>
      <c r="R152" s="2"/>
      <c r="S152" s="4"/>
      <c r="T152" s="4"/>
    </row>
    <row r="153" spans="1:20" ht="27">
      <c r="A153" s="1">
        <v>152</v>
      </c>
      <c r="B153" s="1" t="s">
        <v>447</v>
      </c>
      <c r="C153" s="1" t="s">
        <v>520</v>
      </c>
      <c r="D153" s="1">
        <f t="shared" si="5"/>
        <v>1</v>
      </c>
      <c r="E153" s="1" t="str">
        <f t="shared" si="4"/>
        <v>SFR-020-001</v>
      </c>
      <c r="F153" s="38" t="s">
        <v>1069</v>
      </c>
      <c r="G153" s="2" t="s">
        <v>298</v>
      </c>
      <c r="H153" s="2" t="s">
        <v>166</v>
      </c>
      <c r="I153" s="30">
        <v>7</v>
      </c>
      <c r="J153" s="32" t="s">
        <v>131</v>
      </c>
      <c r="K153" s="30" t="s">
        <v>479</v>
      </c>
      <c r="L153" s="2"/>
      <c r="M153" s="2"/>
      <c r="N153" s="2"/>
      <c r="O153" s="30" t="s">
        <v>160</v>
      </c>
      <c r="P153" s="30"/>
      <c r="Q153" s="2"/>
      <c r="R153" s="2" t="s">
        <v>1071</v>
      </c>
      <c r="S153" s="4"/>
      <c r="T153" s="4"/>
    </row>
    <row r="154" spans="1:20">
      <c r="A154" s="1">
        <v>153</v>
      </c>
      <c r="B154" s="1" t="s">
        <v>447</v>
      </c>
      <c r="C154" s="1" t="s">
        <v>520</v>
      </c>
      <c r="D154" s="1">
        <f t="shared" si="5"/>
        <v>2</v>
      </c>
      <c r="E154" s="1" t="str">
        <f t="shared" si="4"/>
        <v>SFR-020-002</v>
      </c>
      <c r="F154" s="38" t="s">
        <v>1069</v>
      </c>
      <c r="G154" s="2" t="s">
        <v>51</v>
      </c>
      <c r="H154" s="2" t="s">
        <v>727</v>
      </c>
      <c r="I154" s="30">
        <v>7</v>
      </c>
      <c r="J154" s="32" t="s">
        <v>152</v>
      </c>
      <c r="K154" s="30" t="s">
        <v>479</v>
      </c>
      <c r="L154" s="2"/>
      <c r="M154" s="2"/>
      <c r="N154" s="2"/>
      <c r="O154" s="30" t="s">
        <v>160</v>
      </c>
      <c r="P154" s="30"/>
      <c r="Q154" s="2"/>
      <c r="R154" s="2"/>
      <c r="S154" s="4"/>
      <c r="T154" s="4"/>
    </row>
    <row r="155" spans="1:20" ht="27">
      <c r="A155" s="1">
        <v>154</v>
      </c>
      <c r="B155" s="1" t="s">
        <v>447</v>
      </c>
      <c r="C155" s="1" t="s">
        <v>520</v>
      </c>
      <c r="D155" s="1">
        <f t="shared" si="5"/>
        <v>3</v>
      </c>
      <c r="E155" s="1" t="str">
        <f t="shared" si="4"/>
        <v>SFR-020-003</v>
      </c>
      <c r="F155" s="38" t="s">
        <v>1069</v>
      </c>
      <c r="G155" s="2" t="s">
        <v>51</v>
      </c>
      <c r="H155" s="2" t="s">
        <v>363</v>
      </c>
      <c r="I155" s="30">
        <v>7</v>
      </c>
      <c r="J155" s="32" t="s">
        <v>135</v>
      </c>
      <c r="K155" s="30" t="s">
        <v>479</v>
      </c>
      <c r="L155" s="2"/>
      <c r="M155" s="2"/>
      <c r="N155" s="2"/>
      <c r="O155" s="30" t="s">
        <v>160</v>
      </c>
      <c r="P155" s="30"/>
      <c r="Q155" s="2"/>
      <c r="R155" s="2"/>
      <c r="S155" s="4"/>
      <c r="T155" s="4"/>
    </row>
    <row r="156" spans="1:20" ht="40.5">
      <c r="A156" s="1">
        <v>155</v>
      </c>
      <c r="B156" s="1" t="s">
        <v>447</v>
      </c>
      <c r="C156" s="1" t="s">
        <v>520</v>
      </c>
      <c r="D156" s="1">
        <f t="shared" si="5"/>
        <v>4</v>
      </c>
      <c r="E156" s="1" t="str">
        <f t="shared" si="4"/>
        <v>SFR-020-004</v>
      </c>
      <c r="F156" s="38" t="s">
        <v>1069</v>
      </c>
      <c r="G156" s="2" t="s">
        <v>429</v>
      </c>
      <c r="H156" s="2" t="s">
        <v>331</v>
      </c>
      <c r="I156" s="30">
        <v>7</v>
      </c>
      <c r="J156" s="32" t="s">
        <v>159</v>
      </c>
      <c r="K156" s="30" t="s">
        <v>479</v>
      </c>
      <c r="L156" s="2"/>
      <c r="M156" s="2"/>
      <c r="N156" s="2"/>
      <c r="O156" s="30" t="s">
        <v>160</v>
      </c>
      <c r="P156" s="30"/>
      <c r="Q156" s="2"/>
      <c r="R156" s="2"/>
      <c r="S156" s="4"/>
      <c r="T156" s="4"/>
    </row>
    <row r="157" spans="1:20" ht="27">
      <c r="A157" s="1">
        <v>156</v>
      </c>
      <c r="B157" s="1" t="s">
        <v>447</v>
      </c>
      <c r="C157" s="1" t="s">
        <v>520</v>
      </c>
      <c r="D157" s="1">
        <f t="shared" si="5"/>
        <v>5</v>
      </c>
      <c r="E157" s="1" t="str">
        <f t="shared" si="4"/>
        <v>SFR-020-005</v>
      </c>
      <c r="F157" s="38" t="s">
        <v>1069</v>
      </c>
      <c r="G157" s="2" t="s">
        <v>429</v>
      </c>
      <c r="H157" s="2" t="s">
        <v>392</v>
      </c>
      <c r="I157" s="30">
        <v>7</v>
      </c>
      <c r="J157" s="32" t="s">
        <v>143</v>
      </c>
      <c r="K157" s="30" t="s">
        <v>479</v>
      </c>
      <c r="L157" s="2"/>
      <c r="M157" s="2"/>
      <c r="N157" s="2"/>
      <c r="O157" s="30" t="s">
        <v>160</v>
      </c>
      <c r="P157" s="30"/>
      <c r="Q157" s="2"/>
      <c r="R157" s="2"/>
      <c r="S157" s="4"/>
      <c r="T157" s="4"/>
    </row>
    <row r="158" spans="1:20">
      <c r="A158" s="1">
        <v>157</v>
      </c>
      <c r="B158" s="1" t="s">
        <v>447</v>
      </c>
      <c r="C158" s="1" t="s">
        <v>520</v>
      </c>
      <c r="D158" s="1">
        <f t="shared" si="5"/>
        <v>6</v>
      </c>
      <c r="E158" s="1" t="str">
        <f t="shared" si="4"/>
        <v>SFR-020-006</v>
      </c>
      <c r="F158" s="38" t="s">
        <v>1069</v>
      </c>
      <c r="G158" s="2" t="s">
        <v>180</v>
      </c>
      <c r="H158" s="2"/>
      <c r="I158" s="30"/>
      <c r="J158" s="30"/>
      <c r="K158" s="30" t="s">
        <v>481</v>
      </c>
      <c r="L158" s="2"/>
      <c r="M158" s="2"/>
      <c r="N158" s="2"/>
      <c r="O158" s="30" t="s">
        <v>160</v>
      </c>
      <c r="P158" s="30"/>
      <c r="Q158" s="2"/>
      <c r="R158" s="2"/>
      <c r="S158" s="4"/>
      <c r="T158" s="4"/>
    </row>
    <row r="159" spans="1:20" ht="40.5">
      <c r="A159" s="1">
        <v>158</v>
      </c>
      <c r="B159" s="1" t="s">
        <v>447</v>
      </c>
      <c r="C159" s="1" t="s">
        <v>519</v>
      </c>
      <c r="D159" s="1">
        <f t="shared" si="5"/>
        <v>1</v>
      </c>
      <c r="E159" s="1" t="str">
        <f t="shared" si="4"/>
        <v>SFR-021-001</v>
      </c>
      <c r="F159" s="38" t="s">
        <v>1060</v>
      </c>
      <c r="G159" s="2" t="s">
        <v>359</v>
      </c>
      <c r="H159" s="2" t="s">
        <v>608</v>
      </c>
      <c r="I159" s="30">
        <v>6</v>
      </c>
      <c r="J159" s="32" t="s">
        <v>131</v>
      </c>
      <c r="K159" s="30" t="s">
        <v>479</v>
      </c>
      <c r="L159" s="2"/>
      <c r="M159" s="2"/>
      <c r="N159" s="2"/>
      <c r="O159" s="30" t="s">
        <v>160</v>
      </c>
      <c r="P159" s="30"/>
      <c r="Q159" s="2"/>
      <c r="R159" s="6" t="s">
        <v>635</v>
      </c>
      <c r="S159" s="4"/>
      <c r="T159" s="4"/>
    </row>
    <row r="160" spans="1:20" ht="67.5">
      <c r="A160" s="1">
        <v>159</v>
      </c>
      <c r="B160" s="1" t="s">
        <v>447</v>
      </c>
      <c r="C160" s="1" t="s">
        <v>519</v>
      </c>
      <c r="D160" s="1">
        <f t="shared" si="5"/>
        <v>2</v>
      </c>
      <c r="E160" s="1" t="str">
        <f t="shared" si="4"/>
        <v>SFR-021-002</v>
      </c>
      <c r="F160" s="38" t="s">
        <v>1060</v>
      </c>
      <c r="G160" s="2" t="s">
        <v>359</v>
      </c>
      <c r="H160" s="2" t="s">
        <v>84</v>
      </c>
      <c r="I160" s="30">
        <v>6</v>
      </c>
      <c r="J160" s="32" t="s">
        <v>152</v>
      </c>
      <c r="K160" s="30" t="s">
        <v>479</v>
      </c>
      <c r="L160" s="2"/>
      <c r="M160" s="2"/>
      <c r="N160" s="2"/>
      <c r="O160" s="30" t="s">
        <v>160</v>
      </c>
      <c r="P160" s="30"/>
      <c r="Q160" s="2"/>
      <c r="R160" s="6"/>
      <c r="S160" s="4"/>
      <c r="T160" s="4"/>
    </row>
    <row r="161" spans="1:20" ht="81">
      <c r="A161" s="1">
        <v>160</v>
      </c>
      <c r="B161" s="1" t="s">
        <v>447</v>
      </c>
      <c r="C161" s="1" t="s">
        <v>519</v>
      </c>
      <c r="D161" s="1">
        <f t="shared" si="5"/>
        <v>3</v>
      </c>
      <c r="E161" s="1" t="str">
        <f t="shared" si="4"/>
        <v>SFR-021-003</v>
      </c>
      <c r="F161" s="38" t="s">
        <v>1060</v>
      </c>
      <c r="G161" s="2" t="s">
        <v>359</v>
      </c>
      <c r="H161" s="2" t="s">
        <v>649</v>
      </c>
      <c r="I161" s="30">
        <v>6</v>
      </c>
      <c r="J161" s="32" t="s">
        <v>135</v>
      </c>
      <c r="K161" s="30" t="s">
        <v>479</v>
      </c>
      <c r="L161" s="2"/>
      <c r="M161" s="2"/>
      <c r="N161" s="2"/>
      <c r="O161" s="30" t="s">
        <v>160</v>
      </c>
      <c r="P161" s="30"/>
      <c r="Q161" s="2"/>
      <c r="R161" s="6"/>
      <c r="S161" s="4"/>
      <c r="T161" s="4"/>
    </row>
    <row r="162" spans="1:20" ht="67.5">
      <c r="A162" s="1">
        <v>161</v>
      </c>
      <c r="B162" s="1" t="s">
        <v>447</v>
      </c>
      <c r="C162" s="1" t="s">
        <v>519</v>
      </c>
      <c r="D162" s="1">
        <f t="shared" si="5"/>
        <v>4</v>
      </c>
      <c r="E162" s="1" t="str">
        <f t="shared" si="4"/>
        <v>SFR-021-004</v>
      </c>
      <c r="F162" s="38" t="s">
        <v>1060</v>
      </c>
      <c r="G162" s="2" t="s">
        <v>359</v>
      </c>
      <c r="H162" s="2" t="s">
        <v>314</v>
      </c>
      <c r="I162" s="30">
        <v>6</v>
      </c>
      <c r="J162" s="32" t="s">
        <v>159</v>
      </c>
      <c r="K162" s="30" t="s">
        <v>479</v>
      </c>
      <c r="L162" s="2"/>
      <c r="M162" s="2"/>
      <c r="N162" s="2"/>
      <c r="O162" s="30" t="s">
        <v>160</v>
      </c>
      <c r="P162" s="30"/>
      <c r="Q162" s="2"/>
      <c r="R162" s="6"/>
      <c r="S162" s="4"/>
      <c r="T162" s="4"/>
    </row>
    <row r="163" spans="1:20" ht="40.5">
      <c r="A163" s="1">
        <v>162</v>
      </c>
      <c r="B163" s="1" t="s">
        <v>447</v>
      </c>
      <c r="C163" s="1" t="s">
        <v>519</v>
      </c>
      <c r="D163" s="1">
        <f t="shared" si="5"/>
        <v>5</v>
      </c>
      <c r="E163" s="1" t="str">
        <f t="shared" si="4"/>
        <v>SFR-021-005</v>
      </c>
      <c r="F163" s="38" t="s">
        <v>1060</v>
      </c>
      <c r="G163" s="2" t="s">
        <v>359</v>
      </c>
      <c r="H163" s="2" t="s">
        <v>596</v>
      </c>
      <c r="I163" s="30">
        <v>6</v>
      </c>
      <c r="J163" s="32" t="s">
        <v>143</v>
      </c>
      <c r="K163" s="30" t="s">
        <v>479</v>
      </c>
      <c r="L163" s="2"/>
      <c r="M163" s="2"/>
      <c r="N163" s="2"/>
      <c r="O163" s="30" t="s">
        <v>160</v>
      </c>
      <c r="P163" s="30"/>
      <c r="Q163" s="2"/>
      <c r="R163" s="6"/>
      <c r="S163" s="4"/>
      <c r="T163" s="4"/>
    </row>
    <row r="164" spans="1:20" ht="27">
      <c r="A164" s="1">
        <v>163</v>
      </c>
      <c r="B164" s="1" t="s">
        <v>447</v>
      </c>
      <c r="C164" s="1" t="s">
        <v>519</v>
      </c>
      <c r="D164" s="1">
        <f t="shared" si="5"/>
        <v>6</v>
      </c>
      <c r="E164" s="1" t="str">
        <f t="shared" si="4"/>
        <v>SFR-021-006</v>
      </c>
      <c r="F164" s="38" t="s">
        <v>1060</v>
      </c>
      <c r="G164" s="2" t="s">
        <v>359</v>
      </c>
      <c r="H164" s="2" t="s">
        <v>210</v>
      </c>
      <c r="I164" s="30"/>
      <c r="J164" s="30"/>
      <c r="K164" s="30" t="s">
        <v>481</v>
      </c>
      <c r="L164" s="2"/>
      <c r="M164" s="2"/>
      <c r="N164" s="2"/>
      <c r="O164" s="30" t="s">
        <v>160</v>
      </c>
      <c r="P164" s="30"/>
      <c r="Q164" s="2"/>
      <c r="R164" s="6"/>
      <c r="S164" s="4"/>
      <c r="T164" s="4"/>
    </row>
    <row r="165" spans="1:20" ht="27">
      <c r="A165" s="1">
        <v>164</v>
      </c>
      <c r="B165" s="1" t="s">
        <v>447</v>
      </c>
      <c r="C165" s="1" t="s">
        <v>519</v>
      </c>
      <c r="D165" s="1">
        <f t="shared" si="5"/>
        <v>7</v>
      </c>
      <c r="E165" s="1" t="str">
        <f t="shared" si="4"/>
        <v>SFR-021-007</v>
      </c>
      <c r="F165" s="38" t="s">
        <v>1060</v>
      </c>
      <c r="G165" s="2" t="s">
        <v>359</v>
      </c>
      <c r="H165" s="2" t="s">
        <v>373</v>
      </c>
      <c r="I165" s="30"/>
      <c r="J165" s="30"/>
      <c r="K165" s="30" t="s">
        <v>481</v>
      </c>
      <c r="L165" s="2"/>
      <c r="M165" s="2"/>
      <c r="N165" s="2"/>
      <c r="O165" s="30" t="s">
        <v>160</v>
      </c>
      <c r="P165" s="30"/>
      <c r="Q165" s="2"/>
      <c r="R165" s="6"/>
      <c r="S165" s="4"/>
      <c r="T165" s="4"/>
    </row>
    <row r="166" spans="1:20" ht="40.5">
      <c r="A166" s="1">
        <v>165</v>
      </c>
      <c r="B166" s="1" t="s">
        <v>447</v>
      </c>
      <c r="C166" s="1" t="s">
        <v>547</v>
      </c>
      <c r="D166" s="1">
        <f t="shared" si="5"/>
        <v>1</v>
      </c>
      <c r="E166" s="1" t="str">
        <f t="shared" si="4"/>
        <v>SFR-022-001</v>
      </c>
      <c r="F166" s="4" t="s">
        <v>674</v>
      </c>
      <c r="G166" s="2" t="s">
        <v>44</v>
      </c>
      <c r="H166" s="36" t="s">
        <v>659</v>
      </c>
      <c r="I166" s="30"/>
      <c r="J166" s="30"/>
      <c r="K166" s="30" t="s">
        <v>481</v>
      </c>
      <c r="L166" s="2"/>
      <c r="M166" s="2"/>
      <c r="N166" s="2"/>
      <c r="O166" s="30" t="s">
        <v>160</v>
      </c>
      <c r="P166" s="30"/>
      <c r="Q166" s="2"/>
      <c r="R166" s="2" t="s">
        <v>1071</v>
      </c>
      <c r="S166" s="4"/>
      <c r="T166" s="4"/>
    </row>
    <row r="167" spans="1:20" ht="54">
      <c r="A167" s="1">
        <v>166</v>
      </c>
      <c r="B167" s="1" t="s">
        <v>447</v>
      </c>
      <c r="C167" s="1" t="s">
        <v>547</v>
      </c>
      <c r="D167" s="1">
        <f t="shared" si="5"/>
        <v>2</v>
      </c>
      <c r="E167" s="1" t="str">
        <f t="shared" si="4"/>
        <v>SFR-022-002</v>
      </c>
      <c r="F167" s="4" t="s">
        <v>674</v>
      </c>
      <c r="G167" s="2" t="s">
        <v>44</v>
      </c>
      <c r="H167" s="2" t="s">
        <v>647</v>
      </c>
      <c r="I167" s="30"/>
      <c r="J167" s="30"/>
      <c r="K167" s="30"/>
      <c r="L167" s="2"/>
      <c r="M167" s="2"/>
      <c r="N167" s="2"/>
      <c r="O167" s="30" t="s">
        <v>160</v>
      </c>
      <c r="P167" s="30"/>
      <c r="Q167" s="2"/>
      <c r="R167" s="2"/>
      <c r="S167" s="4"/>
      <c r="T167" s="4"/>
    </row>
    <row r="168" spans="1:20" ht="40.5">
      <c r="A168" s="1">
        <v>167</v>
      </c>
      <c r="B168" s="1" t="s">
        <v>447</v>
      </c>
      <c r="C168" s="1" t="s">
        <v>547</v>
      </c>
      <c r="D168" s="1">
        <f t="shared" si="5"/>
        <v>3</v>
      </c>
      <c r="E168" s="1" t="str">
        <f t="shared" si="4"/>
        <v>SFR-022-003</v>
      </c>
      <c r="F168" s="4" t="s">
        <v>674</v>
      </c>
      <c r="G168" s="2" t="s">
        <v>44</v>
      </c>
      <c r="H168" s="2" t="s">
        <v>577</v>
      </c>
      <c r="I168" s="30"/>
      <c r="J168" s="30"/>
      <c r="K168" s="30" t="s">
        <v>481</v>
      </c>
      <c r="L168" s="2"/>
      <c r="M168" s="2"/>
      <c r="N168" s="2"/>
      <c r="O168" s="30" t="s">
        <v>160</v>
      </c>
      <c r="P168" s="30"/>
      <c r="Q168" s="2"/>
      <c r="R168" s="2"/>
      <c r="S168" s="4"/>
      <c r="T168" s="4"/>
    </row>
    <row r="169" spans="1:20" ht="40.5">
      <c r="A169" s="1">
        <v>168</v>
      </c>
      <c r="B169" s="1" t="s">
        <v>447</v>
      </c>
      <c r="C169" s="1" t="s">
        <v>547</v>
      </c>
      <c r="D169" s="1">
        <f t="shared" si="5"/>
        <v>4</v>
      </c>
      <c r="E169" s="1" t="str">
        <f t="shared" si="4"/>
        <v>SFR-022-004</v>
      </c>
      <c r="F169" s="4" t="s">
        <v>674</v>
      </c>
      <c r="G169" s="2" t="s">
        <v>44</v>
      </c>
      <c r="H169" s="2" t="s">
        <v>326</v>
      </c>
      <c r="I169" s="30"/>
      <c r="J169" s="30"/>
      <c r="K169" s="30" t="s">
        <v>481</v>
      </c>
      <c r="L169" s="2"/>
      <c r="M169" s="2"/>
      <c r="N169" s="2"/>
      <c r="O169" s="30" t="s">
        <v>160</v>
      </c>
      <c r="P169" s="30"/>
      <c r="Q169" s="2"/>
      <c r="R169" s="2"/>
      <c r="S169" s="4"/>
      <c r="T169" s="4"/>
    </row>
    <row r="170" spans="1:20" ht="81">
      <c r="A170" s="1">
        <v>169</v>
      </c>
      <c r="B170" s="1" t="s">
        <v>447</v>
      </c>
      <c r="C170" s="1" t="s">
        <v>547</v>
      </c>
      <c r="D170" s="1">
        <f t="shared" si="5"/>
        <v>5</v>
      </c>
      <c r="E170" s="1" t="str">
        <f t="shared" si="4"/>
        <v>SFR-022-005</v>
      </c>
      <c r="F170" s="4" t="s">
        <v>674</v>
      </c>
      <c r="G170" s="2" t="s">
        <v>44</v>
      </c>
      <c r="H170" s="2" t="s">
        <v>339</v>
      </c>
      <c r="I170" s="30"/>
      <c r="J170" s="30"/>
      <c r="K170" s="30"/>
      <c r="L170" s="2"/>
      <c r="M170" s="2"/>
      <c r="N170" s="2"/>
      <c r="O170" s="30" t="s">
        <v>160</v>
      </c>
      <c r="P170" s="30"/>
      <c r="Q170" s="2"/>
      <c r="R170" s="2"/>
      <c r="S170" s="4"/>
      <c r="T170" s="4"/>
    </row>
    <row r="171" spans="1:20" ht="27">
      <c r="A171" s="1">
        <v>170</v>
      </c>
      <c r="B171" s="1" t="s">
        <v>447</v>
      </c>
      <c r="C171" s="1" t="s">
        <v>547</v>
      </c>
      <c r="D171" s="1">
        <f t="shared" si="5"/>
        <v>6</v>
      </c>
      <c r="E171" s="1" t="str">
        <f t="shared" si="4"/>
        <v>SFR-022-006</v>
      </c>
      <c r="F171" s="4" t="s">
        <v>674</v>
      </c>
      <c r="G171" s="36" t="s">
        <v>232</v>
      </c>
      <c r="H171" s="2"/>
      <c r="I171" s="30"/>
      <c r="J171" s="30"/>
      <c r="K171" s="30" t="s">
        <v>481</v>
      </c>
      <c r="L171" s="2"/>
      <c r="M171" s="2"/>
      <c r="N171" s="2"/>
      <c r="O171" s="30" t="s">
        <v>160</v>
      </c>
      <c r="P171" s="30"/>
      <c r="Q171" s="2"/>
      <c r="R171" s="2"/>
      <c r="S171" s="4" t="s">
        <v>1078</v>
      </c>
      <c r="T171" s="4"/>
    </row>
    <row r="172" spans="1:20" ht="40.5">
      <c r="A172" s="1">
        <v>171</v>
      </c>
      <c r="B172" s="1" t="s">
        <v>447</v>
      </c>
      <c r="C172" s="1" t="s">
        <v>562</v>
      </c>
      <c r="D172" s="1">
        <f t="shared" si="5"/>
        <v>1</v>
      </c>
      <c r="E172" s="1" t="str">
        <f t="shared" si="4"/>
        <v>SFR-023-001</v>
      </c>
      <c r="F172" s="4" t="s">
        <v>123</v>
      </c>
      <c r="G172" s="2" t="s">
        <v>241</v>
      </c>
      <c r="H172" s="2" t="s">
        <v>192</v>
      </c>
      <c r="I172" s="30"/>
      <c r="J172" s="30"/>
      <c r="K172" s="30" t="s">
        <v>481</v>
      </c>
      <c r="L172" s="2"/>
      <c r="M172" s="2"/>
      <c r="N172" s="2"/>
      <c r="O172" s="30" t="s">
        <v>160</v>
      </c>
      <c r="P172" s="30"/>
      <c r="Q172" s="2"/>
      <c r="R172" s="2" t="s">
        <v>603</v>
      </c>
      <c r="S172" s="4"/>
      <c r="T172" s="4"/>
    </row>
    <row r="173" spans="1:20" ht="27">
      <c r="A173" s="1">
        <v>172</v>
      </c>
      <c r="B173" s="1" t="s">
        <v>447</v>
      </c>
      <c r="C173" s="1" t="s">
        <v>562</v>
      </c>
      <c r="D173" s="1">
        <f t="shared" si="5"/>
        <v>2</v>
      </c>
      <c r="E173" s="1" t="str">
        <f t="shared" si="4"/>
        <v>SFR-023-002</v>
      </c>
      <c r="F173" s="4" t="s">
        <v>123</v>
      </c>
      <c r="G173" s="2" t="s">
        <v>241</v>
      </c>
      <c r="H173" s="2" t="s">
        <v>95</v>
      </c>
      <c r="I173" s="30"/>
      <c r="J173" s="30"/>
      <c r="K173" s="30"/>
      <c r="L173" s="2"/>
      <c r="M173" s="2"/>
      <c r="N173" s="2"/>
      <c r="O173" s="30" t="s">
        <v>160</v>
      </c>
      <c r="P173" s="30"/>
      <c r="Q173" s="2"/>
      <c r="R173" s="2"/>
      <c r="S173" s="4"/>
      <c r="T173" s="4"/>
    </row>
    <row r="174" spans="1:20" ht="40.5">
      <c r="A174" s="1">
        <v>173</v>
      </c>
      <c r="B174" s="1" t="s">
        <v>447</v>
      </c>
      <c r="C174" s="1" t="s">
        <v>562</v>
      </c>
      <c r="D174" s="1">
        <f t="shared" si="5"/>
        <v>3</v>
      </c>
      <c r="E174" s="1" t="str">
        <f t="shared" si="4"/>
        <v>SFR-023-003</v>
      </c>
      <c r="F174" s="4" t="s">
        <v>123</v>
      </c>
      <c r="G174" s="2" t="s">
        <v>241</v>
      </c>
      <c r="H174" s="2" t="s">
        <v>752</v>
      </c>
      <c r="I174" s="30"/>
      <c r="J174" s="30"/>
      <c r="K174" s="30"/>
      <c r="L174" s="2"/>
      <c r="M174" s="2"/>
      <c r="N174" s="2"/>
      <c r="O174" s="30" t="s">
        <v>160</v>
      </c>
      <c r="P174" s="30"/>
      <c r="Q174" s="2"/>
      <c r="R174" s="2"/>
      <c r="S174" s="4"/>
      <c r="T174" s="4"/>
    </row>
    <row r="175" spans="1:20" ht="40.5">
      <c r="A175" s="1">
        <v>174</v>
      </c>
      <c r="B175" s="1" t="s">
        <v>447</v>
      </c>
      <c r="C175" s="1" t="s">
        <v>562</v>
      </c>
      <c r="D175" s="1">
        <f t="shared" si="5"/>
        <v>4</v>
      </c>
      <c r="E175" s="1" t="str">
        <f t="shared" si="4"/>
        <v>SFR-023-004</v>
      </c>
      <c r="F175" s="4" t="s">
        <v>123</v>
      </c>
      <c r="G175" s="2" t="s">
        <v>241</v>
      </c>
      <c r="H175" s="2" t="s">
        <v>660</v>
      </c>
      <c r="I175" s="30"/>
      <c r="J175" s="30"/>
      <c r="K175" s="30" t="s">
        <v>481</v>
      </c>
      <c r="L175" s="2"/>
      <c r="M175" s="2"/>
      <c r="N175" s="2"/>
      <c r="O175" s="30" t="s">
        <v>160</v>
      </c>
      <c r="P175" s="30"/>
      <c r="Q175" s="2"/>
      <c r="R175" s="2"/>
      <c r="S175" s="4"/>
      <c r="T175" s="4"/>
    </row>
    <row r="176" spans="1:20" ht="27">
      <c r="A176" s="1">
        <v>175</v>
      </c>
      <c r="B176" s="1" t="s">
        <v>447</v>
      </c>
      <c r="C176" s="1" t="s">
        <v>562</v>
      </c>
      <c r="D176" s="1">
        <f t="shared" si="5"/>
        <v>5</v>
      </c>
      <c r="E176" s="1" t="str">
        <f t="shared" si="4"/>
        <v>SFR-023-005</v>
      </c>
      <c r="F176" s="4" t="s">
        <v>123</v>
      </c>
      <c r="G176" s="2" t="s">
        <v>241</v>
      </c>
      <c r="H176" s="2" t="s">
        <v>588</v>
      </c>
      <c r="I176" s="30"/>
      <c r="J176" s="30"/>
      <c r="K176" s="30" t="s">
        <v>481</v>
      </c>
      <c r="L176" s="2"/>
      <c r="M176" s="2"/>
      <c r="N176" s="2"/>
      <c r="O176" s="30" t="s">
        <v>160</v>
      </c>
      <c r="P176" s="30"/>
      <c r="Q176" s="2"/>
      <c r="R176" s="2"/>
      <c r="S176" s="4"/>
      <c r="T176" s="4"/>
    </row>
    <row r="177" spans="1:20" ht="27">
      <c r="A177" s="1">
        <v>176</v>
      </c>
      <c r="B177" s="1" t="s">
        <v>447</v>
      </c>
      <c r="C177" s="1" t="s">
        <v>562</v>
      </c>
      <c r="D177" s="1">
        <f t="shared" si="5"/>
        <v>6</v>
      </c>
      <c r="E177" s="1" t="str">
        <f t="shared" si="4"/>
        <v>SFR-023-006</v>
      </c>
      <c r="F177" s="4" t="s">
        <v>123</v>
      </c>
      <c r="G177" s="2" t="s">
        <v>241</v>
      </c>
      <c r="H177" s="2" t="s">
        <v>70</v>
      </c>
      <c r="I177" s="30"/>
      <c r="J177" s="30"/>
      <c r="K177" s="30" t="s">
        <v>481</v>
      </c>
      <c r="L177" s="2"/>
      <c r="M177" s="2"/>
      <c r="N177" s="2"/>
      <c r="O177" s="30" t="s">
        <v>160</v>
      </c>
      <c r="P177" s="30"/>
      <c r="Q177" s="2"/>
      <c r="R177" s="2"/>
      <c r="S177" s="4"/>
      <c r="T177" s="4"/>
    </row>
    <row r="178" spans="1:20" ht="27">
      <c r="A178" s="1">
        <v>177</v>
      </c>
      <c r="B178" s="1" t="s">
        <v>447</v>
      </c>
      <c r="C178" s="1" t="s">
        <v>562</v>
      </c>
      <c r="D178" s="1">
        <f t="shared" si="5"/>
        <v>7</v>
      </c>
      <c r="E178" s="1" t="str">
        <f t="shared" si="4"/>
        <v>SFR-023-007</v>
      </c>
      <c r="F178" s="4" t="s">
        <v>123</v>
      </c>
      <c r="G178" s="2" t="s">
        <v>709</v>
      </c>
      <c r="H178" s="2" t="s">
        <v>226</v>
      </c>
      <c r="I178" s="30"/>
      <c r="J178" s="30"/>
      <c r="K178" s="30" t="s">
        <v>481</v>
      </c>
      <c r="L178" s="2"/>
      <c r="M178" s="2"/>
      <c r="N178" s="2"/>
      <c r="O178" s="30" t="s">
        <v>160</v>
      </c>
      <c r="P178" s="30"/>
      <c r="Q178" s="2"/>
      <c r="R178" s="2"/>
      <c r="S178" s="4"/>
      <c r="T178" s="4"/>
    </row>
    <row r="179" spans="1:20" ht="67.5">
      <c r="A179" s="1">
        <v>178</v>
      </c>
      <c r="B179" s="1" t="s">
        <v>447</v>
      </c>
      <c r="C179" s="1" t="s">
        <v>562</v>
      </c>
      <c r="D179" s="1">
        <f t="shared" si="5"/>
        <v>8</v>
      </c>
      <c r="E179" s="1" t="str">
        <f t="shared" si="4"/>
        <v>SFR-023-008</v>
      </c>
      <c r="F179" s="4" t="s">
        <v>123</v>
      </c>
      <c r="G179" s="2" t="s">
        <v>709</v>
      </c>
      <c r="H179" s="2" t="s">
        <v>22</v>
      </c>
      <c r="I179" s="30"/>
      <c r="J179" s="30"/>
      <c r="K179" s="30"/>
      <c r="L179" s="2"/>
      <c r="M179" s="2"/>
      <c r="N179" s="2"/>
      <c r="O179" s="30" t="s">
        <v>160</v>
      </c>
      <c r="P179" s="30"/>
      <c r="Q179" s="2"/>
      <c r="R179" s="2"/>
      <c r="S179" s="4"/>
      <c r="T179" s="4"/>
    </row>
    <row r="180" spans="1:20" ht="27">
      <c r="A180" s="1">
        <v>179</v>
      </c>
      <c r="B180" s="1" t="s">
        <v>447</v>
      </c>
      <c r="C180" s="1" t="s">
        <v>562</v>
      </c>
      <c r="D180" s="1">
        <f t="shared" si="5"/>
        <v>9</v>
      </c>
      <c r="E180" s="1" t="str">
        <f t="shared" si="4"/>
        <v>SFR-023-009</v>
      </c>
      <c r="F180" s="4" t="s">
        <v>123</v>
      </c>
      <c r="G180" s="2" t="s">
        <v>709</v>
      </c>
      <c r="H180" s="2" t="s">
        <v>360</v>
      </c>
      <c r="I180" s="30"/>
      <c r="J180" s="30"/>
      <c r="K180" s="30"/>
      <c r="L180" s="2"/>
      <c r="M180" s="2"/>
      <c r="N180" s="2"/>
      <c r="O180" s="30" t="s">
        <v>160</v>
      </c>
      <c r="P180" s="30"/>
      <c r="Q180" s="2"/>
      <c r="R180" s="2"/>
      <c r="S180" s="4"/>
      <c r="T180" s="4"/>
    </row>
    <row r="181" spans="1:20" ht="27">
      <c r="A181" s="1">
        <v>180</v>
      </c>
      <c r="B181" s="1" t="s">
        <v>447</v>
      </c>
      <c r="C181" s="1" t="s">
        <v>562</v>
      </c>
      <c r="D181" s="1">
        <f t="shared" si="5"/>
        <v>10</v>
      </c>
      <c r="E181" s="1" t="str">
        <f t="shared" si="4"/>
        <v>SFR-023-010</v>
      </c>
      <c r="F181" s="4" t="s">
        <v>123</v>
      </c>
      <c r="G181" s="2" t="s">
        <v>709</v>
      </c>
      <c r="H181" s="2" t="s">
        <v>217</v>
      </c>
      <c r="I181" s="30"/>
      <c r="J181" s="30"/>
      <c r="K181" s="30" t="s">
        <v>481</v>
      </c>
      <c r="L181" s="2"/>
      <c r="M181" s="2"/>
      <c r="N181" s="2"/>
      <c r="O181" s="30" t="s">
        <v>160</v>
      </c>
      <c r="P181" s="30"/>
      <c r="Q181" s="2"/>
      <c r="R181" s="2"/>
      <c r="S181" s="4"/>
      <c r="T181" s="4"/>
    </row>
    <row r="182" spans="1:20" ht="67.5">
      <c r="A182" s="1">
        <v>181</v>
      </c>
      <c r="B182" s="1" t="s">
        <v>447</v>
      </c>
      <c r="C182" s="1" t="s">
        <v>562</v>
      </c>
      <c r="D182" s="1">
        <f t="shared" si="5"/>
        <v>11</v>
      </c>
      <c r="E182" s="1" t="str">
        <f t="shared" si="4"/>
        <v>SFR-023-011</v>
      </c>
      <c r="F182" s="4" t="s">
        <v>123</v>
      </c>
      <c r="G182" s="2" t="s">
        <v>53</v>
      </c>
      <c r="H182" s="2" t="s">
        <v>184</v>
      </c>
      <c r="I182" s="30"/>
      <c r="J182" s="30"/>
      <c r="K182" s="30"/>
      <c r="L182" s="2"/>
      <c r="M182" s="2"/>
      <c r="N182" s="2"/>
      <c r="O182" s="30" t="s">
        <v>160</v>
      </c>
      <c r="P182" s="30"/>
      <c r="Q182" s="2"/>
      <c r="R182" s="2"/>
      <c r="S182" s="4"/>
      <c r="T182" s="4"/>
    </row>
    <row r="183" spans="1:20" ht="27">
      <c r="A183" s="1">
        <v>182</v>
      </c>
      <c r="B183" s="1" t="s">
        <v>447</v>
      </c>
      <c r="C183" s="1" t="s">
        <v>562</v>
      </c>
      <c r="D183" s="1">
        <f t="shared" si="5"/>
        <v>12</v>
      </c>
      <c r="E183" s="1" t="str">
        <f t="shared" si="4"/>
        <v>SFR-023-012</v>
      </c>
      <c r="F183" s="4" t="s">
        <v>123</v>
      </c>
      <c r="G183" s="2" t="s">
        <v>53</v>
      </c>
      <c r="H183" s="2" t="s">
        <v>640</v>
      </c>
      <c r="I183" s="30"/>
      <c r="J183" s="30"/>
      <c r="K183" s="30"/>
      <c r="L183" s="2"/>
      <c r="M183" s="2"/>
      <c r="N183" s="2"/>
      <c r="O183" s="30" t="s">
        <v>160</v>
      </c>
      <c r="P183" s="30"/>
      <c r="Q183" s="2"/>
      <c r="R183" s="2"/>
      <c r="S183" s="4"/>
      <c r="T183" s="4"/>
    </row>
    <row r="184" spans="1:20">
      <c r="A184" s="1">
        <v>183</v>
      </c>
      <c r="B184" s="1" t="s">
        <v>447</v>
      </c>
      <c r="C184" s="1" t="s">
        <v>562</v>
      </c>
      <c r="D184" s="1">
        <f t="shared" si="5"/>
        <v>13</v>
      </c>
      <c r="E184" s="1" t="str">
        <f t="shared" si="4"/>
        <v>SFR-023-013</v>
      </c>
      <c r="F184" s="4" t="s">
        <v>123</v>
      </c>
      <c r="G184" s="2" t="s">
        <v>53</v>
      </c>
      <c r="H184" s="2" t="s">
        <v>744</v>
      </c>
      <c r="I184" s="30"/>
      <c r="J184" s="30"/>
      <c r="K184" s="30" t="s">
        <v>481</v>
      </c>
      <c r="L184" s="2"/>
      <c r="M184" s="2"/>
      <c r="N184" s="2"/>
      <c r="O184" s="30" t="s">
        <v>160</v>
      </c>
      <c r="P184" s="30"/>
      <c r="Q184" s="2"/>
      <c r="R184" s="2"/>
      <c r="S184" s="4"/>
      <c r="T184" s="4"/>
    </row>
    <row r="185" spans="1:20" ht="27">
      <c r="A185" s="1">
        <v>184</v>
      </c>
      <c r="B185" s="1" t="s">
        <v>447</v>
      </c>
      <c r="C185" s="1" t="s">
        <v>562</v>
      </c>
      <c r="D185" s="1">
        <f t="shared" si="5"/>
        <v>14</v>
      </c>
      <c r="E185" s="1" t="str">
        <f t="shared" si="4"/>
        <v>SFR-023-014</v>
      </c>
      <c r="F185" s="4" t="s">
        <v>123</v>
      </c>
      <c r="G185" s="2" t="s">
        <v>53</v>
      </c>
      <c r="H185" s="2" t="s">
        <v>586</v>
      </c>
      <c r="I185" s="30"/>
      <c r="J185" s="30"/>
      <c r="K185" s="30"/>
      <c r="L185" s="2"/>
      <c r="M185" s="2"/>
      <c r="N185" s="2"/>
      <c r="O185" s="30" t="s">
        <v>160</v>
      </c>
      <c r="P185" s="30"/>
      <c r="Q185" s="2"/>
      <c r="R185" s="2"/>
      <c r="S185" s="4"/>
      <c r="T185" s="4"/>
    </row>
    <row r="186" spans="1:20" ht="27">
      <c r="A186" s="1">
        <v>185</v>
      </c>
      <c r="B186" s="1" t="s">
        <v>447</v>
      </c>
      <c r="C186" s="1" t="s">
        <v>562</v>
      </c>
      <c r="D186" s="1">
        <f t="shared" si="5"/>
        <v>15</v>
      </c>
      <c r="E186" s="1" t="str">
        <f t="shared" si="4"/>
        <v>SFR-023-015</v>
      </c>
      <c r="F186" s="4" t="s">
        <v>123</v>
      </c>
      <c r="G186" s="2" t="s">
        <v>715</v>
      </c>
      <c r="H186" s="2" t="s">
        <v>14</v>
      </c>
      <c r="I186" s="30"/>
      <c r="J186" s="30"/>
      <c r="K186" s="30" t="s">
        <v>481</v>
      </c>
      <c r="L186" s="2"/>
      <c r="M186" s="2"/>
      <c r="N186" s="2"/>
      <c r="O186" s="30" t="s">
        <v>160</v>
      </c>
      <c r="P186" s="30"/>
      <c r="Q186" s="2"/>
      <c r="R186" s="2"/>
      <c r="S186" s="4"/>
      <c r="T186" s="4"/>
    </row>
    <row r="187" spans="1:20" ht="27">
      <c r="A187" s="1">
        <v>186</v>
      </c>
      <c r="B187" s="1" t="s">
        <v>447</v>
      </c>
      <c r="C187" s="1" t="s">
        <v>549</v>
      </c>
      <c r="D187" s="1">
        <f t="shared" si="5"/>
        <v>1</v>
      </c>
      <c r="E187" s="1" t="str">
        <f t="shared" si="4"/>
        <v>SFR-024-001</v>
      </c>
      <c r="F187" s="38" t="s">
        <v>569</v>
      </c>
      <c r="G187" s="2" t="s">
        <v>428</v>
      </c>
      <c r="H187" s="36" t="s">
        <v>281</v>
      </c>
      <c r="I187" s="30">
        <v>10</v>
      </c>
      <c r="J187" s="30">
        <v>1.47</v>
      </c>
      <c r="K187" s="30" t="s">
        <v>479</v>
      </c>
      <c r="L187" s="2"/>
      <c r="M187" s="2"/>
      <c r="N187" s="2"/>
      <c r="O187" s="30" t="s">
        <v>160</v>
      </c>
      <c r="P187" s="30"/>
      <c r="Q187" s="2"/>
      <c r="R187" s="2"/>
      <c r="S187" s="4" t="s">
        <v>1076</v>
      </c>
      <c r="T187" s="4"/>
    </row>
    <row r="188" spans="1:20" ht="54">
      <c r="A188" s="1">
        <v>187</v>
      </c>
      <c r="B188" s="1" t="s">
        <v>447</v>
      </c>
      <c r="C188" s="1" t="s">
        <v>549</v>
      </c>
      <c r="D188" s="1">
        <f t="shared" si="5"/>
        <v>2</v>
      </c>
      <c r="E188" s="1" t="str">
        <f t="shared" si="4"/>
        <v>SFR-024-002</v>
      </c>
      <c r="F188" s="4" t="s">
        <v>569</v>
      </c>
      <c r="G188" s="2" t="s">
        <v>421</v>
      </c>
      <c r="H188" s="2" t="s">
        <v>103</v>
      </c>
      <c r="I188" s="30"/>
      <c r="J188" s="30"/>
      <c r="K188" s="30" t="s">
        <v>481</v>
      </c>
      <c r="L188" s="2"/>
      <c r="M188" s="2"/>
      <c r="N188" s="2"/>
      <c r="O188" s="30" t="s">
        <v>160</v>
      </c>
      <c r="P188" s="30"/>
      <c r="Q188" s="2"/>
      <c r="R188" s="2" t="s">
        <v>405</v>
      </c>
      <c r="S188" s="4"/>
      <c r="T188" s="4"/>
    </row>
    <row r="189" spans="1:20" ht="40.5">
      <c r="A189" s="1">
        <v>188</v>
      </c>
      <c r="B189" s="1" t="s">
        <v>447</v>
      </c>
      <c r="C189" s="1" t="s">
        <v>549</v>
      </c>
      <c r="D189" s="1">
        <f t="shared" si="5"/>
        <v>3</v>
      </c>
      <c r="E189" s="1" t="str">
        <f t="shared" si="4"/>
        <v>SFR-024-003</v>
      </c>
      <c r="F189" s="4" t="s">
        <v>569</v>
      </c>
      <c r="G189" s="2" t="s">
        <v>421</v>
      </c>
      <c r="H189" s="2" t="s">
        <v>191</v>
      </c>
      <c r="I189" s="30">
        <v>10</v>
      </c>
      <c r="J189" s="30">
        <v>1.48</v>
      </c>
      <c r="K189" s="30" t="s">
        <v>479</v>
      </c>
      <c r="L189" s="2"/>
      <c r="M189" s="2"/>
      <c r="N189" s="2"/>
      <c r="O189" s="30" t="s">
        <v>160</v>
      </c>
      <c r="P189" s="30"/>
      <c r="Q189" s="2"/>
      <c r="R189" s="2"/>
      <c r="S189" s="4"/>
      <c r="T189" s="4"/>
    </row>
    <row r="190" spans="1:20" ht="67.5">
      <c r="A190" s="1">
        <v>189</v>
      </c>
      <c r="B190" s="1" t="s">
        <v>447</v>
      </c>
      <c r="C190" s="1" t="s">
        <v>549</v>
      </c>
      <c r="D190" s="1">
        <f t="shared" si="5"/>
        <v>4</v>
      </c>
      <c r="E190" s="1" t="str">
        <f t="shared" si="4"/>
        <v>SFR-024-004</v>
      </c>
      <c r="F190" s="4" t="s">
        <v>569</v>
      </c>
      <c r="G190" s="2" t="s">
        <v>421</v>
      </c>
      <c r="H190" s="2" t="s">
        <v>315</v>
      </c>
      <c r="I190" s="30">
        <v>10</v>
      </c>
      <c r="J190" s="30">
        <v>1.49</v>
      </c>
      <c r="K190" s="30" t="s">
        <v>479</v>
      </c>
      <c r="L190" s="2"/>
      <c r="M190" s="2"/>
      <c r="N190" s="2"/>
      <c r="O190" s="30" t="s">
        <v>160</v>
      </c>
      <c r="P190" s="30"/>
      <c r="Q190" s="2"/>
      <c r="R190" s="2"/>
      <c r="S190" s="4"/>
      <c r="T190" s="4"/>
    </row>
    <row r="191" spans="1:20" ht="27">
      <c r="A191" s="1">
        <v>190</v>
      </c>
      <c r="B191" s="1" t="s">
        <v>447</v>
      </c>
      <c r="C191" s="1" t="s">
        <v>549</v>
      </c>
      <c r="D191" s="1">
        <f t="shared" si="5"/>
        <v>5</v>
      </c>
      <c r="E191" s="1" t="str">
        <f t="shared" si="4"/>
        <v>SFR-024-005</v>
      </c>
      <c r="F191" s="4" t="s">
        <v>569</v>
      </c>
      <c r="G191" s="2" t="s">
        <v>431</v>
      </c>
      <c r="H191" s="2" t="s">
        <v>644</v>
      </c>
      <c r="I191" s="30">
        <v>10</v>
      </c>
      <c r="J191" s="32" t="s">
        <v>470</v>
      </c>
      <c r="K191" s="30"/>
      <c r="L191" s="2"/>
      <c r="M191" s="2"/>
      <c r="N191" s="2"/>
      <c r="O191" s="30" t="s">
        <v>160</v>
      </c>
      <c r="P191" s="30"/>
      <c r="Q191" s="2"/>
      <c r="R191" s="2" t="s">
        <v>65</v>
      </c>
      <c r="S191" s="4"/>
      <c r="T191" s="4"/>
    </row>
    <row r="192" spans="1:20" ht="27">
      <c r="A192" s="1">
        <v>191</v>
      </c>
      <c r="B192" s="1" t="s">
        <v>447</v>
      </c>
      <c r="C192" s="1" t="s">
        <v>549</v>
      </c>
      <c r="D192" s="1">
        <f t="shared" si="5"/>
        <v>6</v>
      </c>
      <c r="E192" s="1" t="str">
        <f t="shared" si="4"/>
        <v>SFR-024-006</v>
      </c>
      <c r="F192" s="4" t="s">
        <v>569</v>
      </c>
      <c r="G192" s="2" t="s">
        <v>431</v>
      </c>
      <c r="H192" s="2" t="s">
        <v>361</v>
      </c>
      <c r="I192" s="30"/>
      <c r="J192" s="30"/>
      <c r="K192" s="30" t="s">
        <v>481</v>
      </c>
      <c r="L192" s="2"/>
      <c r="M192" s="2"/>
      <c r="N192" s="2"/>
      <c r="O192" s="30" t="s">
        <v>160</v>
      </c>
      <c r="P192" s="30"/>
      <c r="Q192" s="2"/>
      <c r="R192" s="2"/>
      <c r="S192" s="4"/>
      <c r="T192" s="4"/>
    </row>
    <row r="193" spans="1:20" ht="27">
      <c r="A193" s="1">
        <v>192</v>
      </c>
      <c r="B193" s="1" t="s">
        <v>447</v>
      </c>
      <c r="C193" s="1" t="s">
        <v>549</v>
      </c>
      <c r="D193" s="1">
        <f t="shared" si="5"/>
        <v>7</v>
      </c>
      <c r="E193" s="1" t="str">
        <f t="shared" si="4"/>
        <v>SFR-024-007</v>
      </c>
      <c r="F193" s="4" t="s">
        <v>569</v>
      </c>
      <c r="G193" s="2" t="s">
        <v>431</v>
      </c>
      <c r="H193" s="2" t="s">
        <v>606</v>
      </c>
      <c r="I193" s="30"/>
      <c r="J193" s="30"/>
      <c r="K193" s="30" t="s">
        <v>481</v>
      </c>
      <c r="L193" s="2"/>
      <c r="M193" s="2"/>
      <c r="N193" s="2"/>
      <c r="O193" s="30" t="s">
        <v>160</v>
      </c>
      <c r="P193" s="30"/>
      <c r="Q193" s="2"/>
      <c r="R193" s="2"/>
      <c r="S193" s="4"/>
      <c r="T193" s="4"/>
    </row>
    <row r="194" spans="1:20" ht="27">
      <c r="A194" s="1">
        <v>193</v>
      </c>
      <c r="B194" s="1" t="s">
        <v>447</v>
      </c>
      <c r="C194" s="1" t="s">
        <v>549</v>
      </c>
      <c r="D194" s="1">
        <f t="shared" si="5"/>
        <v>8</v>
      </c>
      <c r="E194" s="1" t="str">
        <f t="shared" si="4"/>
        <v>SFR-024-008</v>
      </c>
      <c r="F194" s="4" t="s">
        <v>569</v>
      </c>
      <c r="G194" s="2" t="s">
        <v>247</v>
      </c>
      <c r="H194" s="2"/>
      <c r="I194" s="30"/>
      <c r="J194" s="30"/>
      <c r="K194" s="30" t="s">
        <v>481</v>
      </c>
      <c r="L194" s="2"/>
      <c r="M194" s="2"/>
      <c r="N194" s="2"/>
      <c r="O194" s="30" t="s">
        <v>160</v>
      </c>
      <c r="P194" s="30"/>
      <c r="Q194" s="2"/>
      <c r="R194" s="2"/>
      <c r="S194" s="4"/>
      <c r="T194" s="4"/>
    </row>
    <row r="195" spans="1:20" ht="27">
      <c r="A195" s="1">
        <v>194</v>
      </c>
      <c r="B195" s="1" t="s">
        <v>528</v>
      </c>
      <c r="C195" s="1" t="s">
        <v>537</v>
      </c>
      <c r="D195" s="1">
        <f t="shared" si="5"/>
        <v>1</v>
      </c>
      <c r="E195" s="1" t="str">
        <f t="shared" ref="E195:E258" si="6">C195&amp;"-"&amp;TEXT(D195,"000")</f>
        <v>SFR-025-001</v>
      </c>
      <c r="F195" s="4" t="s">
        <v>671</v>
      </c>
      <c r="G195" s="2" t="s">
        <v>763</v>
      </c>
      <c r="H195" s="2" t="s">
        <v>716</v>
      </c>
      <c r="I195" s="30"/>
      <c r="J195" s="30"/>
      <c r="K195" s="30" t="s">
        <v>481</v>
      </c>
      <c r="L195" s="2"/>
      <c r="M195" s="2"/>
      <c r="N195" s="2"/>
      <c r="O195" s="30" t="s">
        <v>160</v>
      </c>
      <c r="P195" s="30"/>
      <c r="Q195" s="2"/>
      <c r="R195" s="2" t="s">
        <v>765</v>
      </c>
      <c r="S195" s="4"/>
      <c r="T195" s="4"/>
    </row>
    <row r="196" spans="1:20">
      <c r="A196" s="1">
        <v>195</v>
      </c>
      <c r="B196" s="1" t="s">
        <v>528</v>
      </c>
      <c r="C196" s="1" t="s">
        <v>537</v>
      </c>
      <c r="D196" s="1">
        <f t="shared" ref="D196:D259" si="7">IF(C195=C196,D195+1,1)</f>
        <v>2</v>
      </c>
      <c r="E196" s="1" t="str">
        <f t="shared" si="6"/>
        <v>SFR-025-002</v>
      </c>
      <c r="F196" s="4" t="s">
        <v>671</v>
      </c>
      <c r="G196" s="2" t="s">
        <v>763</v>
      </c>
      <c r="H196" s="2" t="s">
        <v>706</v>
      </c>
      <c r="I196" s="30"/>
      <c r="J196" s="30"/>
      <c r="K196" s="30" t="s">
        <v>481</v>
      </c>
      <c r="L196" s="2"/>
      <c r="M196" s="2"/>
      <c r="N196" s="2"/>
      <c r="O196" s="30" t="s">
        <v>160</v>
      </c>
      <c r="P196" s="30"/>
      <c r="Q196" s="2"/>
      <c r="R196" s="2"/>
      <c r="S196" s="4"/>
      <c r="T196" s="4"/>
    </row>
    <row r="197" spans="1:20">
      <c r="A197" s="1">
        <v>196</v>
      </c>
      <c r="B197" s="1" t="s">
        <v>528</v>
      </c>
      <c r="C197" s="1" t="s">
        <v>537</v>
      </c>
      <c r="D197" s="1">
        <f t="shared" si="7"/>
        <v>3</v>
      </c>
      <c r="E197" s="1" t="str">
        <f t="shared" si="6"/>
        <v>SFR-025-003</v>
      </c>
      <c r="F197" s="4" t="s">
        <v>671</v>
      </c>
      <c r="G197" s="2" t="s">
        <v>763</v>
      </c>
      <c r="H197" s="2" t="s">
        <v>743</v>
      </c>
      <c r="I197" s="30"/>
      <c r="J197" s="30"/>
      <c r="K197" s="30" t="s">
        <v>481</v>
      </c>
      <c r="L197" s="2"/>
      <c r="M197" s="2"/>
      <c r="N197" s="2"/>
      <c r="O197" s="30" t="s">
        <v>160</v>
      </c>
      <c r="P197" s="30"/>
      <c r="Q197" s="2"/>
      <c r="R197" s="2"/>
      <c r="S197" s="4"/>
      <c r="T197" s="4"/>
    </row>
    <row r="198" spans="1:20" ht="27">
      <c r="A198" s="1">
        <v>197</v>
      </c>
      <c r="B198" s="1" t="s">
        <v>528</v>
      </c>
      <c r="C198" s="1" t="s">
        <v>537</v>
      </c>
      <c r="D198" s="1">
        <f t="shared" si="7"/>
        <v>4</v>
      </c>
      <c r="E198" s="1" t="str">
        <f t="shared" si="6"/>
        <v>SFR-025-004</v>
      </c>
      <c r="F198" s="4" t="s">
        <v>671</v>
      </c>
      <c r="G198" s="2" t="s">
        <v>763</v>
      </c>
      <c r="H198" s="2" t="s">
        <v>590</v>
      </c>
      <c r="I198" s="30"/>
      <c r="J198" s="30"/>
      <c r="K198" s="30" t="s">
        <v>481</v>
      </c>
      <c r="L198" s="2"/>
      <c r="M198" s="2"/>
      <c r="N198" s="2"/>
      <c r="O198" s="30" t="s">
        <v>160</v>
      </c>
      <c r="P198" s="30"/>
      <c r="Q198" s="2"/>
      <c r="R198" s="2"/>
      <c r="S198" s="4"/>
      <c r="T198" s="4"/>
    </row>
    <row r="199" spans="1:20" ht="27">
      <c r="A199" s="1">
        <v>198</v>
      </c>
      <c r="B199" s="1" t="s">
        <v>528</v>
      </c>
      <c r="C199" s="1" t="s">
        <v>537</v>
      </c>
      <c r="D199" s="1">
        <f t="shared" si="7"/>
        <v>5</v>
      </c>
      <c r="E199" s="1" t="str">
        <f t="shared" si="6"/>
        <v>SFR-025-005</v>
      </c>
      <c r="F199" s="4" t="s">
        <v>671</v>
      </c>
      <c r="G199" s="2" t="s">
        <v>416</v>
      </c>
      <c r="H199" s="2" t="s">
        <v>289</v>
      </c>
      <c r="I199" s="30"/>
      <c r="J199" s="30"/>
      <c r="K199" s="30" t="s">
        <v>481</v>
      </c>
      <c r="L199" s="2"/>
      <c r="M199" s="2"/>
      <c r="N199" s="2"/>
      <c r="O199" s="30" t="s">
        <v>160</v>
      </c>
      <c r="P199" s="30"/>
      <c r="Q199" s="2"/>
      <c r="R199" s="2"/>
      <c r="S199" s="4"/>
      <c r="T199" s="4"/>
    </row>
    <row r="200" spans="1:20">
      <c r="A200" s="1">
        <v>199</v>
      </c>
      <c r="B200" s="1" t="s">
        <v>528</v>
      </c>
      <c r="C200" s="1" t="s">
        <v>537</v>
      </c>
      <c r="D200" s="1">
        <f t="shared" si="7"/>
        <v>6</v>
      </c>
      <c r="E200" s="1" t="str">
        <f t="shared" si="6"/>
        <v>SFR-025-006</v>
      </c>
      <c r="F200" s="4" t="s">
        <v>671</v>
      </c>
      <c r="G200" s="2" t="s">
        <v>416</v>
      </c>
      <c r="H200" s="2" t="s">
        <v>71</v>
      </c>
      <c r="I200" s="30"/>
      <c r="J200" s="30"/>
      <c r="K200" s="30" t="s">
        <v>481</v>
      </c>
      <c r="L200" s="2"/>
      <c r="M200" s="2"/>
      <c r="N200" s="2"/>
      <c r="O200" s="30" t="s">
        <v>160</v>
      </c>
      <c r="P200" s="30"/>
      <c r="Q200" s="2"/>
      <c r="R200" s="2"/>
      <c r="S200" s="4"/>
      <c r="T200" s="4"/>
    </row>
    <row r="201" spans="1:20" ht="27">
      <c r="A201" s="1">
        <v>200</v>
      </c>
      <c r="B201" s="1" t="s">
        <v>528</v>
      </c>
      <c r="C201" s="1" t="s">
        <v>537</v>
      </c>
      <c r="D201" s="1">
        <f t="shared" si="7"/>
        <v>7</v>
      </c>
      <c r="E201" s="1" t="str">
        <f t="shared" si="6"/>
        <v>SFR-025-007</v>
      </c>
      <c r="F201" s="4" t="s">
        <v>671</v>
      </c>
      <c r="G201" s="2" t="s">
        <v>416</v>
      </c>
      <c r="H201" s="2" t="s">
        <v>637</v>
      </c>
      <c r="I201" s="30"/>
      <c r="J201" s="30"/>
      <c r="K201" s="30" t="s">
        <v>481</v>
      </c>
      <c r="L201" s="2"/>
      <c r="M201" s="2"/>
      <c r="N201" s="2"/>
      <c r="O201" s="30" t="s">
        <v>160</v>
      </c>
      <c r="P201" s="30"/>
      <c r="Q201" s="2"/>
      <c r="R201" s="2"/>
      <c r="S201" s="4"/>
      <c r="T201" s="4"/>
    </row>
    <row r="202" spans="1:20" ht="108">
      <c r="A202" s="1">
        <v>201</v>
      </c>
      <c r="B202" s="1" t="s">
        <v>528</v>
      </c>
      <c r="C202" s="1" t="s">
        <v>537</v>
      </c>
      <c r="D202" s="1">
        <f t="shared" si="7"/>
        <v>8</v>
      </c>
      <c r="E202" s="1" t="str">
        <f t="shared" si="6"/>
        <v>SFR-025-008</v>
      </c>
      <c r="F202" s="4" t="s">
        <v>671</v>
      </c>
      <c r="G202" s="2" t="s">
        <v>416</v>
      </c>
      <c r="H202" s="2" t="s">
        <v>88</v>
      </c>
      <c r="I202" s="30">
        <v>10</v>
      </c>
      <c r="J202" s="30">
        <v>1.51</v>
      </c>
      <c r="K202" s="30"/>
      <c r="L202" s="2"/>
      <c r="M202" s="2"/>
      <c r="N202" s="2"/>
      <c r="O202" s="30" t="s">
        <v>160</v>
      </c>
      <c r="P202" s="30"/>
      <c r="Q202" s="2"/>
      <c r="R202" s="2"/>
      <c r="S202" s="4"/>
      <c r="T202" s="4"/>
    </row>
    <row r="203" spans="1:20" ht="27">
      <c r="A203" s="1">
        <v>202</v>
      </c>
      <c r="B203" s="1" t="s">
        <v>528</v>
      </c>
      <c r="C203" s="1" t="s">
        <v>537</v>
      </c>
      <c r="D203" s="1">
        <f t="shared" si="7"/>
        <v>9</v>
      </c>
      <c r="E203" s="1" t="str">
        <f t="shared" si="6"/>
        <v>SFR-025-009</v>
      </c>
      <c r="F203" s="4" t="s">
        <v>671</v>
      </c>
      <c r="G203" s="2" t="s">
        <v>31</v>
      </c>
      <c r="H203" s="2" t="s">
        <v>86</v>
      </c>
      <c r="I203" s="30"/>
      <c r="J203" s="30"/>
      <c r="K203" s="30" t="s">
        <v>481</v>
      </c>
      <c r="L203" s="2"/>
      <c r="M203" s="2"/>
      <c r="N203" s="2"/>
      <c r="O203" s="30" t="s">
        <v>160</v>
      </c>
      <c r="P203" s="30"/>
      <c r="Q203" s="2"/>
      <c r="R203" s="2" t="s">
        <v>1061</v>
      </c>
      <c r="S203" s="4" t="s">
        <v>1079</v>
      </c>
      <c r="T203" s="4"/>
    </row>
    <row r="204" spans="1:20" ht="27">
      <c r="A204" s="1">
        <v>203</v>
      </c>
      <c r="B204" s="1" t="s">
        <v>528</v>
      </c>
      <c r="C204" s="1" t="s">
        <v>537</v>
      </c>
      <c r="D204" s="1">
        <f t="shared" si="7"/>
        <v>10</v>
      </c>
      <c r="E204" s="1" t="str">
        <f t="shared" si="6"/>
        <v>SFR-025-010</v>
      </c>
      <c r="F204" s="4" t="s">
        <v>671</v>
      </c>
      <c r="G204" s="2" t="s">
        <v>31</v>
      </c>
      <c r="H204" s="2" t="s">
        <v>4</v>
      </c>
      <c r="I204" s="30"/>
      <c r="J204" s="30"/>
      <c r="K204" s="30" t="s">
        <v>481</v>
      </c>
      <c r="L204" s="2"/>
      <c r="M204" s="2"/>
      <c r="N204" s="2"/>
      <c r="O204" s="30" t="s">
        <v>160</v>
      </c>
      <c r="P204" s="30"/>
      <c r="Q204" s="2"/>
      <c r="R204" s="2"/>
      <c r="S204" s="4"/>
      <c r="T204" s="4"/>
    </row>
    <row r="205" spans="1:20" ht="27">
      <c r="A205" s="1">
        <v>204</v>
      </c>
      <c r="B205" s="1" t="s">
        <v>528</v>
      </c>
      <c r="C205" s="1" t="s">
        <v>537</v>
      </c>
      <c r="D205" s="1">
        <f t="shared" si="7"/>
        <v>11</v>
      </c>
      <c r="E205" s="1" t="str">
        <f t="shared" si="6"/>
        <v>SFR-025-011</v>
      </c>
      <c r="F205" s="4" t="s">
        <v>671</v>
      </c>
      <c r="G205" s="2" t="s">
        <v>376</v>
      </c>
      <c r="H205" s="2" t="s">
        <v>296</v>
      </c>
      <c r="I205" s="30"/>
      <c r="J205" s="30"/>
      <c r="K205" s="30" t="s">
        <v>481</v>
      </c>
      <c r="L205" s="2"/>
      <c r="M205" s="2"/>
      <c r="N205" s="2"/>
      <c r="O205" s="30" t="s">
        <v>160</v>
      </c>
      <c r="P205" s="30"/>
      <c r="Q205" s="2"/>
      <c r="R205" s="2" t="s">
        <v>1070</v>
      </c>
      <c r="S205" s="4" t="s">
        <v>119</v>
      </c>
      <c r="T205" s="4"/>
    </row>
    <row r="206" spans="1:20" ht="27">
      <c r="A206" s="1">
        <v>205</v>
      </c>
      <c r="B206" s="1" t="s">
        <v>528</v>
      </c>
      <c r="C206" s="1" t="s">
        <v>559</v>
      </c>
      <c r="D206" s="1">
        <f t="shared" si="7"/>
        <v>1</v>
      </c>
      <c r="E206" s="1" t="str">
        <f t="shared" si="6"/>
        <v>SFR-026-001</v>
      </c>
      <c r="F206" s="4" t="s">
        <v>518</v>
      </c>
      <c r="G206" s="2" t="s">
        <v>243</v>
      </c>
      <c r="H206" s="2" t="s">
        <v>179</v>
      </c>
      <c r="I206" s="30">
        <v>10</v>
      </c>
      <c r="J206" s="30">
        <v>1.52</v>
      </c>
      <c r="K206" s="30"/>
      <c r="L206" s="2"/>
      <c r="M206" s="2"/>
      <c r="N206" s="2"/>
      <c r="O206" s="30" t="s">
        <v>160</v>
      </c>
      <c r="P206" s="30"/>
      <c r="Q206" s="2"/>
      <c r="R206" s="2"/>
      <c r="S206" s="4"/>
      <c r="T206" s="4"/>
    </row>
    <row r="207" spans="1:20" ht="27">
      <c r="A207" s="1">
        <v>206</v>
      </c>
      <c r="B207" s="1" t="s">
        <v>528</v>
      </c>
      <c r="C207" s="1" t="s">
        <v>559</v>
      </c>
      <c r="D207" s="1">
        <f t="shared" si="7"/>
        <v>2</v>
      </c>
      <c r="E207" s="1" t="str">
        <f t="shared" si="6"/>
        <v>SFR-026-002</v>
      </c>
      <c r="F207" s="4" t="s">
        <v>518</v>
      </c>
      <c r="G207" s="2" t="s">
        <v>243</v>
      </c>
      <c r="H207" s="2" t="s">
        <v>629</v>
      </c>
      <c r="I207" s="30">
        <v>10</v>
      </c>
      <c r="J207" s="30">
        <v>1.53</v>
      </c>
      <c r="K207" s="30"/>
      <c r="L207" s="2"/>
      <c r="M207" s="2"/>
      <c r="N207" s="2"/>
      <c r="O207" s="30" t="s">
        <v>160</v>
      </c>
      <c r="P207" s="30"/>
      <c r="Q207" s="2"/>
      <c r="R207" s="2"/>
      <c r="S207" s="4"/>
      <c r="T207" s="4"/>
    </row>
    <row r="208" spans="1:20" ht="54">
      <c r="A208" s="1">
        <v>207</v>
      </c>
      <c r="B208" s="1" t="s">
        <v>528</v>
      </c>
      <c r="C208" s="1" t="s">
        <v>559</v>
      </c>
      <c r="D208" s="1">
        <f t="shared" si="7"/>
        <v>3</v>
      </c>
      <c r="E208" s="1" t="str">
        <f t="shared" si="6"/>
        <v>SFR-026-003</v>
      </c>
      <c r="F208" s="4" t="s">
        <v>518</v>
      </c>
      <c r="G208" s="2" t="s">
        <v>243</v>
      </c>
      <c r="H208" s="2" t="s">
        <v>334</v>
      </c>
      <c r="I208" s="30"/>
      <c r="J208" s="30"/>
      <c r="K208" s="30" t="s">
        <v>481</v>
      </c>
      <c r="L208" s="2"/>
      <c r="M208" s="2"/>
      <c r="N208" s="2"/>
      <c r="O208" s="30" t="s">
        <v>160</v>
      </c>
      <c r="P208" s="30"/>
      <c r="Q208" s="2"/>
      <c r="R208" s="2"/>
      <c r="S208" s="4"/>
      <c r="T208" s="4"/>
    </row>
    <row r="209" spans="1:20" ht="27">
      <c r="A209" s="1">
        <v>208</v>
      </c>
      <c r="B209" s="1" t="s">
        <v>528</v>
      </c>
      <c r="C209" s="1" t="s">
        <v>559</v>
      </c>
      <c r="D209" s="1">
        <f t="shared" si="7"/>
        <v>4</v>
      </c>
      <c r="E209" s="1" t="str">
        <f t="shared" si="6"/>
        <v>SFR-026-004</v>
      </c>
      <c r="F209" s="4" t="s">
        <v>518</v>
      </c>
      <c r="G209" s="2" t="s">
        <v>243</v>
      </c>
      <c r="H209" s="2" t="s">
        <v>364</v>
      </c>
      <c r="I209" s="30"/>
      <c r="J209" s="30"/>
      <c r="K209" s="30" t="s">
        <v>481</v>
      </c>
      <c r="L209" s="2"/>
      <c r="M209" s="2"/>
      <c r="N209" s="2"/>
      <c r="O209" s="30" t="s">
        <v>160</v>
      </c>
      <c r="P209" s="30"/>
      <c r="Q209" s="2"/>
      <c r="R209" s="2"/>
      <c r="S209" s="4"/>
      <c r="T209" s="4"/>
    </row>
    <row r="210" spans="1:20" ht="27">
      <c r="A210" s="1">
        <v>209</v>
      </c>
      <c r="B210" s="1" t="s">
        <v>528</v>
      </c>
      <c r="C210" s="1" t="s">
        <v>563</v>
      </c>
      <c r="D210" s="1">
        <f t="shared" si="7"/>
        <v>1</v>
      </c>
      <c r="E210" s="1" t="str">
        <f t="shared" si="6"/>
        <v>SFR-027-001</v>
      </c>
      <c r="F210" s="4" t="s">
        <v>564</v>
      </c>
      <c r="G210" s="2" t="s">
        <v>419</v>
      </c>
      <c r="H210" s="2" t="s">
        <v>96</v>
      </c>
      <c r="I210" s="30"/>
      <c r="J210" s="30"/>
      <c r="K210" s="30" t="s">
        <v>481</v>
      </c>
      <c r="L210" s="2"/>
      <c r="M210" s="2"/>
      <c r="N210" s="2"/>
      <c r="O210" s="30" t="s">
        <v>160</v>
      </c>
      <c r="P210" s="30"/>
      <c r="Q210" s="2"/>
      <c r="R210" s="2" t="s">
        <v>279</v>
      </c>
      <c r="S210" s="4"/>
      <c r="T210" s="4"/>
    </row>
    <row r="211" spans="1:20">
      <c r="A211" s="1">
        <v>210</v>
      </c>
      <c r="B211" s="1" t="s">
        <v>528</v>
      </c>
      <c r="C211" s="1" t="s">
        <v>563</v>
      </c>
      <c r="D211" s="1">
        <f t="shared" si="7"/>
        <v>2</v>
      </c>
      <c r="E211" s="1" t="str">
        <f t="shared" si="6"/>
        <v>SFR-027-002</v>
      </c>
      <c r="F211" s="4" t="s">
        <v>564</v>
      </c>
      <c r="G211" s="2" t="s">
        <v>419</v>
      </c>
      <c r="H211" s="2" t="s">
        <v>63</v>
      </c>
      <c r="I211" s="30"/>
      <c r="J211" s="30"/>
      <c r="K211" s="30" t="s">
        <v>481</v>
      </c>
      <c r="L211" s="2"/>
      <c r="M211" s="2"/>
      <c r="N211" s="2"/>
      <c r="O211" s="30" t="s">
        <v>160</v>
      </c>
      <c r="P211" s="30"/>
      <c r="Q211" s="2"/>
      <c r="R211" s="2"/>
      <c r="S211" s="4"/>
      <c r="T211" s="4"/>
    </row>
    <row r="212" spans="1:20">
      <c r="A212" s="1">
        <v>211</v>
      </c>
      <c r="B212" s="1" t="s">
        <v>528</v>
      </c>
      <c r="C212" s="1" t="s">
        <v>563</v>
      </c>
      <c r="D212" s="1">
        <f t="shared" si="7"/>
        <v>3</v>
      </c>
      <c r="E212" s="1" t="str">
        <f t="shared" si="6"/>
        <v>SFR-027-003</v>
      </c>
      <c r="F212" s="4" t="s">
        <v>564</v>
      </c>
      <c r="G212" s="2" t="s">
        <v>419</v>
      </c>
      <c r="H212" s="2" t="s">
        <v>710</v>
      </c>
      <c r="I212" s="30">
        <v>10</v>
      </c>
      <c r="J212" s="30">
        <v>1.54</v>
      </c>
      <c r="K212" s="30"/>
      <c r="L212" s="2"/>
      <c r="M212" s="2"/>
      <c r="N212" s="2"/>
      <c r="O212" s="30" t="s">
        <v>160</v>
      </c>
      <c r="P212" s="30"/>
      <c r="Q212" s="2"/>
      <c r="R212" s="2"/>
      <c r="S212" s="4"/>
      <c r="T212" s="4"/>
    </row>
    <row r="213" spans="1:20" ht="27">
      <c r="A213" s="1">
        <v>212</v>
      </c>
      <c r="B213" s="1" t="s">
        <v>528</v>
      </c>
      <c r="C213" s="1" t="s">
        <v>563</v>
      </c>
      <c r="D213" s="1">
        <f t="shared" si="7"/>
        <v>4</v>
      </c>
      <c r="E213" s="1" t="str">
        <f t="shared" si="6"/>
        <v>SFR-027-004</v>
      </c>
      <c r="F213" s="4" t="s">
        <v>564</v>
      </c>
      <c r="G213" s="2" t="s">
        <v>731</v>
      </c>
      <c r="H213" s="2" t="s">
        <v>375</v>
      </c>
      <c r="I213" s="30"/>
      <c r="J213" s="30"/>
      <c r="K213" s="30" t="s">
        <v>481</v>
      </c>
      <c r="L213" s="2"/>
      <c r="M213" s="2"/>
      <c r="N213" s="2"/>
      <c r="O213" s="30" t="s">
        <v>160</v>
      </c>
      <c r="P213" s="30"/>
      <c r="Q213" s="2"/>
      <c r="R213" s="2" t="s">
        <v>766</v>
      </c>
      <c r="S213" s="4"/>
      <c r="T213" s="4"/>
    </row>
    <row r="214" spans="1:20" ht="27">
      <c r="A214" s="1">
        <v>213</v>
      </c>
      <c r="B214" s="1" t="s">
        <v>528</v>
      </c>
      <c r="C214" s="1" t="s">
        <v>563</v>
      </c>
      <c r="D214" s="1">
        <f t="shared" si="7"/>
        <v>5</v>
      </c>
      <c r="E214" s="1" t="str">
        <f t="shared" si="6"/>
        <v>SFR-027-005</v>
      </c>
      <c r="F214" s="4" t="s">
        <v>564</v>
      </c>
      <c r="G214" s="2" t="s">
        <v>619</v>
      </c>
      <c r="H214" s="2" t="s">
        <v>292</v>
      </c>
      <c r="I214" s="30"/>
      <c r="J214" s="30"/>
      <c r="K214" s="30" t="s">
        <v>481</v>
      </c>
      <c r="L214" s="2"/>
      <c r="M214" s="2"/>
      <c r="N214" s="2"/>
      <c r="O214" s="30" t="s">
        <v>160</v>
      </c>
      <c r="P214" s="30"/>
      <c r="Q214" s="2"/>
      <c r="R214" s="2" t="s">
        <v>760</v>
      </c>
      <c r="S214" s="4"/>
      <c r="T214" s="4"/>
    </row>
    <row r="215" spans="1:20" ht="54">
      <c r="A215" s="1">
        <v>214</v>
      </c>
      <c r="B215" s="1" t="s">
        <v>528</v>
      </c>
      <c r="C215" s="1" t="s">
        <v>563</v>
      </c>
      <c r="D215" s="1">
        <f t="shared" si="7"/>
        <v>6</v>
      </c>
      <c r="E215" s="1" t="str">
        <f t="shared" si="6"/>
        <v>SFR-027-006</v>
      </c>
      <c r="F215" s="4" t="s">
        <v>564</v>
      </c>
      <c r="G215" s="2" t="s">
        <v>52</v>
      </c>
      <c r="H215" s="2" t="s">
        <v>357</v>
      </c>
      <c r="I215" s="30"/>
      <c r="J215" s="30"/>
      <c r="K215" s="30" t="s">
        <v>481</v>
      </c>
      <c r="L215" s="2"/>
      <c r="M215" s="2"/>
      <c r="N215" s="2"/>
      <c r="O215" s="30" t="s">
        <v>160</v>
      </c>
      <c r="P215" s="30"/>
      <c r="Q215" s="2"/>
      <c r="R215" s="2"/>
      <c r="S215" s="4" t="s">
        <v>287</v>
      </c>
      <c r="T215" s="4"/>
    </row>
    <row r="216" spans="1:20" ht="27">
      <c r="A216" s="1">
        <v>215</v>
      </c>
      <c r="B216" s="1" t="s">
        <v>1064</v>
      </c>
      <c r="C216" s="1" t="s">
        <v>556</v>
      </c>
      <c r="D216" s="1">
        <f t="shared" si="7"/>
        <v>1</v>
      </c>
      <c r="E216" s="1" t="str">
        <f t="shared" si="6"/>
        <v>SFR-028-001</v>
      </c>
      <c r="F216" s="4" t="s">
        <v>675</v>
      </c>
      <c r="G216" s="2" t="s">
        <v>43</v>
      </c>
      <c r="H216" s="2" t="s">
        <v>16</v>
      </c>
      <c r="I216" s="30">
        <v>10</v>
      </c>
      <c r="J216" s="30">
        <v>1.55</v>
      </c>
      <c r="K216" s="30"/>
      <c r="L216" s="2"/>
      <c r="M216" s="2"/>
      <c r="N216" s="2"/>
      <c r="O216" s="30" t="s">
        <v>160</v>
      </c>
      <c r="P216" s="30"/>
      <c r="Q216" s="2"/>
      <c r="R216" s="2"/>
      <c r="S216" s="4" t="s">
        <v>740</v>
      </c>
      <c r="T216" s="4"/>
    </row>
    <row r="217" spans="1:20" ht="27">
      <c r="A217" s="1">
        <v>216</v>
      </c>
      <c r="B217" s="1" t="s">
        <v>1064</v>
      </c>
      <c r="C217" s="1" t="s">
        <v>556</v>
      </c>
      <c r="D217" s="1">
        <f t="shared" si="7"/>
        <v>2</v>
      </c>
      <c r="E217" s="1" t="str">
        <f t="shared" si="6"/>
        <v>SFR-028-002</v>
      </c>
      <c r="F217" s="4" t="s">
        <v>675</v>
      </c>
      <c r="G217" s="2" t="s">
        <v>43</v>
      </c>
      <c r="H217" s="2" t="s">
        <v>378</v>
      </c>
      <c r="I217" s="30"/>
      <c r="J217" s="30"/>
      <c r="K217" s="30" t="s">
        <v>481</v>
      </c>
      <c r="L217" s="2"/>
      <c r="M217" s="2"/>
      <c r="N217" s="2"/>
      <c r="O217" s="30" t="s">
        <v>160</v>
      </c>
      <c r="P217" s="30"/>
      <c r="Q217" s="2"/>
      <c r="R217" s="2"/>
      <c r="S217" s="4"/>
      <c r="T217" s="4"/>
    </row>
    <row r="218" spans="1:20" ht="40.5">
      <c r="A218" s="1">
        <v>217</v>
      </c>
      <c r="B218" s="1" t="s">
        <v>1064</v>
      </c>
      <c r="C218" s="1" t="s">
        <v>556</v>
      </c>
      <c r="D218" s="1">
        <f t="shared" si="7"/>
        <v>3</v>
      </c>
      <c r="E218" s="1" t="str">
        <f t="shared" si="6"/>
        <v>SFR-028-003</v>
      </c>
      <c r="F218" s="4" t="s">
        <v>675</v>
      </c>
      <c r="G218" s="2" t="s">
        <v>43</v>
      </c>
      <c r="H218" s="36" t="s">
        <v>335</v>
      </c>
      <c r="I218" s="30"/>
      <c r="J218" s="30"/>
      <c r="K218" s="30" t="s">
        <v>481</v>
      </c>
      <c r="L218" s="2"/>
      <c r="M218" s="2"/>
      <c r="N218" s="2"/>
      <c r="O218" s="30" t="s">
        <v>160</v>
      </c>
      <c r="P218" s="30"/>
      <c r="Q218" s="2"/>
      <c r="R218" s="2"/>
      <c r="S218" s="4"/>
      <c r="T218" s="4"/>
    </row>
    <row r="219" spans="1:20" ht="27">
      <c r="A219" s="1">
        <v>218</v>
      </c>
      <c r="B219" s="1" t="s">
        <v>1064</v>
      </c>
      <c r="C219" s="1" t="s">
        <v>556</v>
      </c>
      <c r="D219" s="1">
        <f t="shared" si="7"/>
        <v>4</v>
      </c>
      <c r="E219" s="1" t="str">
        <f t="shared" si="6"/>
        <v>SFR-028-004</v>
      </c>
      <c r="F219" s="4" t="s">
        <v>675</v>
      </c>
      <c r="G219" s="2" t="s">
        <v>43</v>
      </c>
      <c r="H219" s="36" t="s">
        <v>584</v>
      </c>
      <c r="I219" s="30"/>
      <c r="J219" s="30"/>
      <c r="K219" s="30" t="s">
        <v>481</v>
      </c>
      <c r="L219" s="2"/>
      <c r="M219" s="2"/>
      <c r="N219" s="2"/>
      <c r="O219" s="30" t="s">
        <v>160</v>
      </c>
      <c r="P219" s="30"/>
      <c r="Q219" s="2"/>
      <c r="R219" s="2"/>
      <c r="S219" s="4"/>
      <c r="T219" s="4"/>
    </row>
    <row r="220" spans="1:20">
      <c r="A220" s="1">
        <v>219</v>
      </c>
      <c r="B220" s="1" t="s">
        <v>1064</v>
      </c>
      <c r="C220" s="1" t="s">
        <v>556</v>
      </c>
      <c r="D220" s="1">
        <f t="shared" si="7"/>
        <v>5</v>
      </c>
      <c r="E220" s="1" t="str">
        <f t="shared" si="6"/>
        <v>SFR-028-005</v>
      </c>
      <c r="F220" s="4" t="s">
        <v>675</v>
      </c>
      <c r="G220" s="2" t="s">
        <v>43</v>
      </c>
      <c r="H220" s="2" t="s">
        <v>219</v>
      </c>
      <c r="I220" s="30"/>
      <c r="J220" s="30"/>
      <c r="K220" s="30" t="s">
        <v>481</v>
      </c>
      <c r="L220" s="2"/>
      <c r="M220" s="2"/>
      <c r="N220" s="2"/>
      <c r="O220" s="30" t="s">
        <v>160</v>
      </c>
      <c r="P220" s="30"/>
      <c r="Q220" s="2"/>
      <c r="R220" s="2"/>
      <c r="S220" s="4"/>
      <c r="T220" s="4"/>
    </row>
    <row r="221" spans="1:20" ht="27">
      <c r="A221" s="1">
        <v>220</v>
      </c>
      <c r="B221" s="1" t="s">
        <v>1064</v>
      </c>
      <c r="C221" s="1" t="s">
        <v>556</v>
      </c>
      <c r="D221" s="1">
        <f t="shared" si="7"/>
        <v>6</v>
      </c>
      <c r="E221" s="1" t="str">
        <f t="shared" si="6"/>
        <v>SFR-028-006</v>
      </c>
      <c r="F221" s="4" t="s">
        <v>675</v>
      </c>
      <c r="G221" s="2" t="s">
        <v>423</v>
      </c>
      <c r="H221" s="2" t="s">
        <v>244</v>
      </c>
      <c r="I221" s="30"/>
      <c r="J221" s="30"/>
      <c r="K221" s="30" t="s">
        <v>481</v>
      </c>
      <c r="L221" s="2"/>
      <c r="M221" s="2"/>
      <c r="N221" s="2"/>
      <c r="O221" s="30" t="s">
        <v>160</v>
      </c>
      <c r="P221" s="30"/>
      <c r="Q221" s="2"/>
      <c r="R221" s="2"/>
      <c r="S221" s="4" t="s">
        <v>697</v>
      </c>
      <c r="T221" s="4"/>
    </row>
    <row r="222" spans="1:20" ht="27">
      <c r="A222" s="1">
        <v>221</v>
      </c>
      <c r="B222" s="1" t="s">
        <v>1064</v>
      </c>
      <c r="C222" s="1" t="s">
        <v>556</v>
      </c>
      <c r="D222" s="1">
        <f t="shared" si="7"/>
        <v>7</v>
      </c>
      <c r="E222" s="1" t="str">
        <f t="shared" si="6"/>
        <v>SFR-028-007</v>
      </c>
      <c r="F222" s="4" t="s">
        <v>675</v>
      </c>
      <c r="G222" s="2" t="s">
        <v>423</v>
      </c>
      <c r="H222" s="2" t="s">
        <v>91</v>
      </c>
      <c r="I222" s="30"/>
      <c r="J222" s="30"/>
      <c r="K222" s="30" t="s">
        <v>481</v>
      </c>
      <c r="L222" s="2"/>
      <c r="M222" s="2"/>
      <c r="N222" s="2"/>
      <c r="O222" s="30" t="s">
        <v>160</v>
      </c>
      <c r="P222" s="30"/>
      <c r="Q222" s="2"/>
      <c r="R222" s="2"/>
      <c r="S222" s="4"/>
      <c r="T222" s="4"/>
    </row>
    <row r="223" spans="1:20" ht="94.5">
      <c r="A223" s="1">
        <v>222</v>
      </c>
      <c r="B223" s="1" t="s">
        <v>1064</v>
      </c>
      <c r="C223" s="1" t="s">
        <v>556</v>
      </c>
      <c r="D223" s="1">
        <f t="shared" si="7"/>
        <v>8</v>
      </c>
      <c r="E223" s="1" t="str">
        <f t="shared" si="6"/>
        <v>SFR-028-008</v>
      </c>
      <c r="F223" s="4" t="s">
        <v>675</v>
      </c>
      <c r="G223" s="2" t="s">
        <v>423</v>
      </c>
      <c r="H223" s="2" t="s">
        <v>186</v>
      </c>
      <c r="I223" s="30"/>
      <c r="J223" s="30"/>
      <c r="K223" s="30" t="s">
        <v>481</v>
      </c>
      <c r="L223" s="2"/>
      <c r="M223" s="2"/>
      <c r="N223" s="2"/>
      <c r="O223" s="30" t="s">
        <v>160</v>
      </c>
      <c r="P223" s="30"/>
      <c r="Q223" s="2"/>
      <c r="R223" s="2"/>
      <c r="S223" s="4"/>
      <c r="T223" s="4"/>
    </row>
    <row r="224" spans="1:20" ht="27">
      <c r="A224" s="1">
        <v>223</v>
      </c>
      <c r="B224" s="1" t="s">
        <v>1064</v>
      </c>
      <c r="C224" s="1" t="s">
        <v>556</v>
      </c>
      <c r="D224" s="1">
        <f t="shared" si="7"/>
        <v>9</v>
      </c>
      <c r="E224" s="1" t="str">
        <f t="shared" si="6"/>
        <v>SFR-028-009</v>
      </c>
      <c r="F224" s="4" t="s">
        <v>675</v>
      </c>
      <c r="G224" s="2" t="s">
        <v>423</v>
      </c>
      <c r="H224" s="2" t="s">
        <v>365</v>
      </c>
      <c r="I224" s="30"/>
      <c r="J224" s="30"/>
      <c r="K224" s="30" t="s">
        <v>481</v>
      </c>
      <c r="L224" s="2"/>
      <c r="M224" s="2"/>
      <c r="N224" s="2"/>
      <c r="O224" s="30" t="s">
        <v>160</v>
      </c>
      <c r="P224" s="30"/>
      <c r="Q224" s="2"/>
      <c r="R224" s="2"/>
      <c r="S224" s="4"/>
      <c r="T224" s="4"/>
    </row>
    <row r="225" spans="1:20" ht="27">
      <c r="A225" s="1">
        <v>224</v>
      </c>
      <c r="B225" s="1" t="s">
        <v>1064</v>
      </c>
      <c r="C225" s="1" t="s">
        <v>556</v>
      </c>
      <c r="D225" s="1">
        <f t="shared" si="7"/>
        <v>10</v>
      </c>
      <c r="E225" s="1" t="str">
        <f t="shared" si="6"/>
        <v>SFR-028-010</v>
      </c>
      <c r="F225" s="4" t="s">
        <v>675</v>
      </c>
      <c r="G225" s="2" t="s">
        <v>418</v>
      </c>
      <c r="H225" s="2" t="s">
        <v>6</v>
      </c>
      <c r="I225" s="30"/>
      <c r="J225" s="30"/>
      <c r="K225" s="30" t="s">
        <v>481</v>
      </c>
      <c r="L225" s="2"/>
      <c r="M225" s="2"/>
      <c r="N225" s="2"/>
      <c r="O225" s="30" t="s">
        <v>160</v>
      </c>
      <c r="P225" s="30"/>
      <c r="Q225" s="2"/>
      <c r="R225" s="2"/>
      <c r="S225" s="4" t="s">
        <v>697</v>
      </c>
      <c r="T225" s="4"/>
    </row>
    <row r="226" spans="1:20" ht="27">
      <c r="A226" s="1">
        <v>225</v>
      </c>
      <c r="B226" s="1" t="s">
        <v>1064</v>
      </c>
      <c r="C226" s="1" t="s">
        <v>556</v>
      </c>
      <c r="D226" s="1">
        <f t="shared" si="7"/>
        <v>11</v>
      </c>
      <c r="E226" s="1" t="str">
        <f t="shared" si="6"/>
        <v>SFR-028-011</v>
      </c>
      <c r="F226" s="4" t="s">
        <v>675</v>
      </c>
      <c r="G226" s="2" t="s">
        <v>418</v>
      </c>
      <c r="H226" s="2" t="s">
        <v>573</v>
      </c>
      <c r="I226" s="30"/>
      <c r="J226" s="30"/>
      <c r="K226" s="30" t="s">
        <v>481</v>
      </c>
      <c r="L226" s="2"/>
      <c r="M226" s="2"/>
      <c r="N226" s="2"/>
      <c r="O226" s="30" t="s">
        <v>160</v>
      </c>
      <c r="P226" s="30"/>
      <c r="Q226" s="2"/>
      <c r="R226" s="2"/>
      <c r="S226" s="4"/>
      <c r="T226" s="4"/>
    </row>
    <row r="227" spans="1:20" ht="40.5">
      <c r="A227" s="1">
        <v>226</v>
      </c>
      <c r="B227" s="1" t="s">
        <v>1064</v>
      </c>
      <c r="C227" s="1" t="s">
        <v>556</v>
      </c>
      <c r="D227" s="1">
        <f t="shared" si="7"/>
        <v>12</v>
      </c>
      <c r="E227" s="1" t="str">
        <f t="shared" si="6"/>
        <v>SFR-028-012</v>
      </c>
      <c r="F227" s="4" t="s">
        <v>675</v>
      </c>
      <c r="G227" s="2" t="s">
        <v>418</v>
      </c>
      <c r="H227" s="2" t="s">
        <v>751</v>
      </c>
      <c r="I227" s="30"/>
      <c r="J227" s="30"/>
      <c r="K227" s="30" t="s">
        <v>481</v>
      </c>
      <c r="L227" s="2"/>
      <c r="M227" s="2"/>
      <c r="N227" s="2"/>
      <c r="O227" s="30" t="s">
        <v>160</v>
      </c>
      <c r="P227" s="30"/>
      <c r="Q227" s="2"/>
      <c r="R227" s="2"/>
      <c r="S227" s="4"/>
      <c r="T227" s="4"/>
    </row>
    <row r="228" spans="1:20" ht="27">
      <c r="A228" s="1">
        <v>227</v>
      </c>
      <c r="B228" s="1" t="s">
        <v>1064</v>
      </c>
      <c r="C228" s="1" t="s">
        <v>556</v>
      </c>
      <c r="D228" s="1">
        <f t="shared" si="7"/>
        <v>13</v>
      </c>
      <c r="E228" s="1" t="str">
        <f t="shared" si="6"/>
        <v>SFR-028-013</v>
      </c>
      <c r="F228" s="4" t="s">
        <v>675</v>
      </c>
      <c r="G228" s="2" t="s">
        <v>418</v>
      </c>
      <c r="H228" s="2" t="s">
        <v>578</v>
      </c>
      <c r="I228" s="30"/>
      <c r="J228" s="30"/>
      <c r="K228" s="30" t="s">
        <v>481</v>
      </c>
      <c r="L228" s="2"/>
      <c r="M228" s="2"/>
      <c r="N228" s="2"/>
      <c r="O228" s="30" t="s">
        <v>160</v>
      </c>
      <c r="P228" s="30"/>
      <c r="Q228" s="2"/>
      <c r="R228" s="2"/>
      <c r="S228" s="4"/>
      <c r="T228" s="4"/>
    </row>
    <row r="229" spans="1:20">
      <c r="A229" s="1">
        <v>228</v>
      </c>
      <c r="B229" s="1" t="s">
        <v>1064</v>
      </c>
      <c r="C229" s="1" t="s">
        <v>556</v>
      </c>
      <c r="D229" s="1">
        <f t="shared" si="7"/>
        <v>14</v>
      </c>
      <c r="E229" s="1" t="str">
        <f t="shared" si="6"/>
        <v>SFR-028-014</v>
      </c>
      <c r="F229" s="4" t="s">
        <v>675</v>
      </c>
      <c r="G229" s="2" t="s">
        <v>418</v>
      </c>
      <c r="H229" s="2" t="s">
        <v>69</v>
      </c>
      <c r="I229" s="30"/>
      <c r="J229" s="30"/>
      <c r="K229" s="30" t="s">
        <v>481</v>
      </c>
      <c r="L229" s="2"/>
      <c r="M229" s="2"/>
      <c r="N229" s="2"/>
      <c r="O229" s="30" t="s">
        <v>160</v>
      </c>
      <c r="P229" s="30"/>
      <c r="Q229" s="2"/>
      <c r="R229" s="2"/>
      <c r="S229" s="4"/>
      <c r="T229" s="4"/>
    </row>
    <row r="230" spans="1:20" ht="54">
      <c r="A230" s="1">
        <v>229</v>
      </c>
      <c r="B230" s="1" t="s">
        <v>1064</v>
      </c>
      <c r="C230" s="1" t="s">
        <v>556</v>
      </c>
      <c r="D230" s="1">
        <f t="shared" si="7"/>
        <v>15</v>
      </c>
      <c r="E230" s="1" t="str">
        <f t="shared" si="6"/>
        <v>SFR-028-015</v>
      </c>
      <c r="F230" s="4" t="s">
        <v>675</v>
      </c>
      <c r="G230" s="2" t="s">
        <v>418</v>
      </c>
      <c r="H230" s="2" t="s">
        <v>337</v>
      </c>
      <c r="I230" s="30"/>
      <c r="J230" s="30"/>
      <c r="K230" s="30" t="s">
        <v>481</v>
      </c>
      <c r="L230" s="2"/>
      <c r="M230" s="2"/>
      <c r="N230" s="2"/>
      <c r="O230" s="30" t="s">
        <v>160</v>
      </c>
      <c r="P230" s="30"/>
      <c r="Q230" s="2"/>
      <c r="R230" s="2"/>
      <c r="S230" s="4"/>
      <c r="T230" s="4"/>
    </row>
    <row r="231" spans="1:20">
      <c r="A231" s="1">
        <v>230</v>
      </c>
      <c r="B231" s="1" t="s">
        <v>1064</v>
      </c>
      <c r="C231" s="1" t="s">
        <v>556</v>
      </c>
      <c r="D231" s="1">
        <f t="shared" si="7"/>
        <v>16</v>
      </c>
      <c r="E231" s="1" t="str">
        <f t="shared" si="6"/>
        <v>SFR-028-016</v>
      </c>
      <c r="F231" s="4" t="s">
        <v>675</v>
      </c>
      <c r="G231" s="2" t="s">
        <v>418</v>
      </c>
      <c r="H231" s="2" t="s">
        <v>719</v>
      </c>
      <c r="I231" s="30"/>
      <c r="J231" s="30"/>
      <c r="K231" s="30" t="s">
        <v>481</v>
      </c>
      <c r="L231" s="2"/>
      <c r="M231" s="2"/>
      <c r="N231" s="2"/>
      <c r="O231" s="30" t="s">
        <v>160</v>
      </c>
      <c r="P231" s="30"/>
      <c r="Q231" s="2"/>
      <c r="R231" s="2"/>
      <c r="S231" s="4"/>
      <c r="T231" s="4"/>
    </row>
    <row r="232" spans="1:20" ht="27">
      <c r="A232" s="1">
        <v>231</v>
      </c>
      <c r="B232" s="1" t="s">
        <v>1064</v>
      </c>
      <c r="C232" s="1" t="s">
        <v>556</v>
      </c>
      <c r="D232" s="1">
        <f t="shared" si="7"/>
        <v>17</v>
      </c>
      <c r="E232" s="1" t="str">
        <f t="shared" si="6"/>
        <v>SFR-028-017</v>
      </c>
      <c r="F232" s="4" t="s">
        <v>675</v>
      </c>
      <c r="G232" s="2" t="s">
        <v>418</v>
      </c>
      <c r="H232" s="2" t="s">
        <v>286</v>
      </c>
      <c r="I232" s="30"/>
      <c r="J232" s="30"/>
      <c r="K232" s="30" t="s">
        <v>481</v>
      </c>
      <c r="L232" s="2"/>
      <c r="M232" s="2"/>
      <c r="N232" s="2"/>
      <c r="O232" s="30" t="s">
        <v>160</v>
      </c>
      <c r="P232" s="30"/>
      <c r="Q232" s="2"/>
      <c r="R232" s="2"/>
      <c r="S232" s="4"/>
      <c r="T232" s="4"/>
    </row>
    <row r="233" spans="1:20" ht="81">
      <c r="A233" s="1">
        <v>232</v>
      </c>
      <c r="B233" s="1" t="s">
        <v>1064</v>
      </c>
      <c r="C233" s="1" t="s">
        <v>567</v>
      </c>
      <c r="D233" s="1">
        <f t="shared" si="7"/>
        <v>1</v>
      </c>
      <c r="E233" s="1" t="str">
        <f t="shared" si="6"/>
        <v>SFR-029-001</v>
      </c>
      <c r="F233" s="4" t="s">
        <v>679</v>
      </c>
      <c r="G233" s="36" t="s">
        <v>622</v>
      </c>
      <c r="H233" s="2" t="s">
        <v>327</v>
      </c>
      <c r="I233" s="30"/>
      <c r="J233" s="30"/>
      <c r="K233" s="30" t="s">
        <v>481</v>
      </c>
      <c r="L233" s="2"/>
      <c r="M233" s="2"/>
      <c r="N233" s="2"/>
      <c r="O233" s="30" t="s">
        <v>160</v>
      </c>
      <c r="P233" s="30"/>
      <c r="Q233" s="2"/>
      <c r="R233" s="6" t="s">
        <v>40</v>
      </c>
      <c r="S233" s="4"/>
      <c r="T233" s="4"/>
    </row>
    <row r="234" spans="1:20" ht="54">
      <c r="A234" s="1">
        <v>233</v>
      </c>
      <c r="B234" s="1" t="s">
        <v>1064</v>
      </c>
      <c r="C234" s="1" t="s">
        <v>567</v>
      </c>
      <c r="D234" s="1">
        <f t="shared" si="7"/>
        <v>2</v>
      </c>
      <c r="E234" s="1" t="str">
        <f t="shared" si="6"/>
        <v>SFR-029-002</v>
      </c>
      <c r="F234" s="4" t="s">
        <v>679</v>
      </c>
      <c r="G234" s="2" t="s">
        <v>622</v>
      </c>
      <c r="H234" s="2" t="s">
        <v>198</v>
      </c>
      <c r="I234" s="30"/>
      <c r="J234" s="30"/>
      <c r="K234" s="30" t="s">
        <v>481</v>
      </c>
      <c r="L234" s="2"/>
      <c r="M234" s="2"/>
      <c r="N234" s="2"/>
      <c r="O234" s="30" t="s">
        <v>160</v>
      </c>
      <c r="P234" s="30"/>
      <c r="Q234" s="2"/>
      <c r="R234" s="6"/>
      <c r="S234" s="4"/>
      <c r="T234" s="4"/>
    </row>
    <row r="235" spans="1:20" ht="27">
      <c r="A235" s="1">
        <v>234</v>
      </c>
      <c r="B235" s="1" t="s">
        <v>1064</v>
      </c>
      <c r="C235" s="1" t="s">
        <v>567</v>
      </c>
      <c r="D235" s="1">
        <f t="shared" si="7"/>
        <v>3</v>
      </c>
      <c r="E235" s="1" t="str">
        <f t="shared" si="6"/>
        <v>SFR-029-003</v>
      </c>
      <c r="F235" s="4" t="s">
        <v>679</v>
      </c>
      <c r="G235" s="2" t="s">
        <v>622</v>
      </c>
      <c r="H235" s="2" t="s">
        <v>609</v>
      </c>
      <c r="I235" s="30"/>
      <c r="J235" s="30"/>
      <c r="K235" s="30" t="s">
        <v>481</v>
      </c>
      <c r="L235" s="2"/>
      <c r="M235" s="2"/>
      <c r="N235" s="2"/>
      <c r="O235" s="30" t="s">
        <v>160</v>
      </c>
      <c r="P235" s="30"/>
      <c r="Q235" s="2"/>
      <c r="R235" s="6"/>
      <c r="S235" s="4"/>
      <c r="T235" s="4"/>
    </row>
    <row r="236" spans="1:20" ht="27">
      <c r="A236" s="1">
        <v>235</v>
      </c>
      <c r="B236" s="1" t="s">
        <v>1064</v>
      </c>
      <c r="C236" s="1" t="s">
        <v>567</v>
      </c>
      <c r="D236" s="1">
        <f t="shared" si="7"/>
        <v>4</v>
      </c>
      <c r="E236" s="1" t="str">
        <f t="shared" si="6"/>
        <v>SFR-029-004</v>
      </c>
      <c r="F236" s="4" t="s">
        <v>679</v>
      </c>
      <c r="G236" s="2" t="s">
        <v>622</v>
      </c>
      <c r="H236" s="2" t="s">
        <v>280</v>
      </c>
      <c r="I236" s="30"/>
      <c r="J236" s="30"/>
      <c r="K236" s="30" t="s">
        <v>481</v>
      </c>
      <c r="L236" s="2"/>
      <c r="M236" s="2"/>
      <c r="N236" s="2"/>
      <c r="O236" s="30" t="s">
        <v>160</v>
      </c>
      <c r="P236" s="30"/>
      <c r="Q236" s="2"/>
      <c r="R236" s="6"/>
      <c r="S236" s="4"/>
      <c r="T236" s="4"/>
    </row>
    <row r="237" spans="1:20" ht="40.5">
      <c r="A237" s="1">
        <v>236</v>
      </c>
      <c r="B237" s="1" t="s">
        <v>1064</v>
      </c>
      <c r="C237" s="1" t="s">
        <v>567</v>
      </c>
      <c r="D237" s="1">
        <f t="shared" si="7"/>
        <v>5</v>
      </c>
      <c r="E237" s="1" t="str">
        <f t="shared" si="6"/>
        <v>SFR-029-005</v>
      </c>
      <c r="F237" s="4" t="s">
        <v>679</v>
      </c>
      <c r="G237" s="2" t="s">
        <v>622</v>
      </c>
      <c r="H237" s="2" t="s">
        <v>93</v>
      </c>
      <c r="I237" s="30"/>
      <c r="J237" s="30"/>
      <c r="K237" s="30" t="s">
        <v>481</v>
      </c>
      <c r="L237" s="2"/>
      <c r="M237" s="2"/>
      <c r="N237" s="2"/>
      <c r="O237" s="30" t="s">
        <v>160</v>
      </c>
      <c r="P237" s="30"/>
      <c r="Q237" s="2"/>
      <c r="R237" s="6"/>
      <c r="S237" s="4"/>
      <c r="T237" s="4"/>
    </row>
    <row r="238" spans="1:20" ht="67.5">
      <c r="A238" s="1">
        <v>237</v>
      </c>
      <c r="B238" s="1" t="s">
        <v>1064</v>
      </c>
      <c r="C238" s="1" t="s">
        <v>567</v>
      </c>
      <c r="D238" s="1">
        <f t="shared" si="7"/>
        <v>6</v>
      </c>
      <c r="E238" s="1" t="str">
        <f t="shared" si="6"/>
        <v>SFR-029-006</v>
      </c>
      <c r="F238" s="4" t="s">
        <v>679</v>
      </c>
      <c r="G238" s="2" t="s">
        <v>711</v>
      </c>
      <c r="H238" s="2" t="s">
        <v>37</v>
      </c>
      <c r="I238" s="30"/>
      <c r="J238" s="30"/>
      <c r="K238" s="30" t="s">
        <v>481</v>
      </c>
      <c r="L238" s="2"/>
      <c r="M238" s="2"/>
      <c r="N238" s="2"/>
      <c r="O238" s="30" t="s">
        <v>160</v>
      </c>
      <c r="P238" s="30"/>
      <c r="Q238" s="2"/>
      <c r="R238" s="6" t="s">
        <v>229</v>
      </c>
      <c r="S238" s="4"/>
      <c r="T238" s="4"/>
    </row>
    <row r="239" spans="1:20" ht="27">
      <c r="A239" s="1">
        <v>238</v>
      </c>
      <c r="B239" s="1" t="s">
        <v>1064</v>
      </c>
      <c r="C239" s="1" t="s">
        <v>567</v>
      </c>
      <c r="D239" s="1">
        <f t="shared" si="7"/>
        <v>7</v>
      </c>
      <c r="E239" s="1" t="str">
        <f t="shared" si="6"/>
        <v>SFR-029-007</v>
      </c>
      <c r="F239" s="4" t="s">
        <v>679</v>
      </c>
      <c r="G239" s="2" t="s">
        <v>717</v>
      </c>
      <c r="H239" s="36" t="s">
        <v>80</v>
      </c>
      <c r="I239" s="30"/>
      <c r="J239" s="30"/>
      <c r="K239" s="30" t="s">
        <v>481</v>
      </c>
      <c r="L239" s="2"/>
      <c r="M239" s="2"/>
      <c r="N239" s="2"/>
      <c r="O239" s="30" t="s">
        <v>160</v>
      </c>
      <c r="P239" s="30"/>
      <c r="Q239" s="2"/>
      <c r="R239" s="4" t="s">
        <v>477</v>
      </c>
      <c r="S239" s="10" t="s">
        <v>736</v>
      </c>
      <c r="T239" s="4"/>
    </row>
    <row r="240" spans="1:20">
      <c r="A240" s="1">
        <v>239</v>
      </c>
      <c r="B240" s="1" t="s">
        <v>1064</v>
      </c>
      <c r="C240" s="1" t="s">
        <v>567</v>
      </c>
      <c r="D240" s="1">
        <f t="shared" si="7"/>
        <v>8</v>
      </c>
      <c r="E240" s="1" t="str">
        <f t="shared" si="6"/>
        <v>SFR-029-008</v>
      </c>
      <c r="F240" s="4" t="s">
        <v>679</v>
      </c>
      <c r="G240" s="2" t="s">
        <v>717</v>
      </c>
      <c r="H240" s="2" t="s">
        <v>172</v>
      </c>
      <c r="I240" s="30"/>
      <c r="J240" s="30"/>
      <c r="K240" s="30" t="s">
        <v>481</v>
      </c>
      <c r="L240" s="2"/>
      <c r="M240" s="2"/>
      <c r="N240" s="2"/>
      <c r="O240" s="30" t="s">
        <v>160</v>
      </c>
      <c r="P240" s="30"/>
      <c r="Q240" s="2"/>
      <c r="R240" s="4"/>
      <c r="S240" s="10"/>
      <c r="T240" s="4"/>
    </row>
    <row r="241" spans="1:20" ht="40.5">
      <c r="A241" s="1">
        <v>240</v>
      </c>
      <c r="B241" s="1" t="s">
        <v>1064</v>
      </c>
      <c r="C241" s="1" t="s">
        <v>555</v>
      </c>
      <c r="D241" s="1">
        <f t="shared" si="7"/>
        <v>1</v>
      </c>
      <c r="E241" s="1" t="str">
        <f t="shared" si="6"/>
        <v>SFR-030-001</v>
      </c>
      <c r="F241" s="38" t="s">
        <v>1066</v>
      </c>
      <c r="G241" s="2" t="s">
        <v>724</v>
      </c>
      <c r="H241" s="2" t="s">
        <v>187</v>
      </c>
      <c r="I241" s="30"/>
      <c r="J241" s="30"/>
      <c r="K241" s="30" t="s">
        <v>481</v>
      </c>
      <c r="L241" s="2"/>
      <c r="M241" s="2"/>
      <c r="N241" s="2"/>
      <c r="O241" s="30" t="s">
        <v>160</v>
      </c>
      <c r="P241" s="30"/>
      <c r="Q241" s="2"/>
      <c r="R241" s="2"/>
      <c r="S241" s="4" t="s">
        <v>108</v>
      </c>
      <c r="T241" s="4"/>
    </row>
    <row r="242" spans="1:20" ht="27">
      <c r="A242" s="1">
        <v>241</v>
      </c>
      <c r="B242" s="1" t="s">
        <v>1064</v>
      </c>
      <c r="C242" s="1" t="s">
        <v>555</v>
      </c>
      <c r="D242" s="1">
        <f t="shared" si="7"/>
        <v>2</v>
      </c>
      <c r="E242" s="1" t="str">
        <f t="shared" si="6"/>
        <v>SFR-030-002</v>
      </c>
      <c r="F242" s="38" t="s">
        <v>1066</v>
      </c>
      <c r="G242" s="2" t="s">
        <v>724</v>
      </c>
      <c r="H242" s="2" t="s">
        <v>384</v>
      </c>
      <c r="I242" s="30"/>
      <c r="J242" s="30"/>
      <c r="K242" s="30" t="s">
        <v>481</v>
      </c>
      <c r="L242" s="2"/>
      <c r="M242" s="2"/>
      <c r="N242" s="2"/>
      <c r="O242" s="30" t="s">
        <v>160</v>
      </c>
      <c r="P242" s="30"/>
      <c r="Q242" s="2"/>
      <c r="R242" s="2"/>
      <c r="S242" s="4"/>
      <c r="T242" s="4"/>
    </row>
    <row r="243" spans="1:20" ht="27">
      <c r="A243" s="1">
        <v>242</v>
      </c>
      <c r="B243" s="1" t="s">
        <v>1064</v>
      </c>
      <c r="C243" s="1" t="s">
        <v>555</v>
      </c>
      <c r="D243" s="1">
        <f t="shared" si="7"/>
        <v>3</v>
      </c>
      <c r="E243" s="1" t="str">
        <f t="shared" si="6"/>
        <v>SFR-030-003</v>
      </c>
      <c r="F243" s="38" t="s">
        <v>1066</v>
      </c>
      <c r="G243" s="2" t="s">
        <v>724</v>
      </c>
      <c r="H243" s="2" t="s">
        <v>213</v>
      </c>
      <c r="I243" s="30"/>
      <c r="J243" s="30"/>
      <c r="K243" s="30" t="s">
        <v>481</v>
      </c>
      <c r="L243" s="2"/>
      <c r="M243" s="2"/>
      <c r="N243" s="2"/>
      <c r="O243" s="30" t="s">
        <v>160</v>
      </c>
      <c r="P243" s="30"/>
      <c r="Q243" s="2"/>
      <c r="R243" s="2"/>
      <c r="S243" s="4"/>
      <c r="T243" s="4"/>
    </row>
    <row r="244" spans="1:20" ht="27">
      <c r="A244" s="1">
        <v>243</v>
      </c>
      <c r="B244" s="1" t="s">
        <v>1064</v>
      </c>
      <c r="C244" s="1" t="s">
        <v>555</v>
      </c>
      <c r="D244" s="1">
        <f t="shared" si="7"/>
        <v>4</v>
      </c>
      <c r="E244" s="1" t="str">
        <f t="shared" si="6"/>
        <v>SFR-030-004</v>
      </c>
      <c r="F244" s="38" t="s">
        <v>1066</v>
      </c>
      <c r="G244" s="2" t="s">
        <v>724</v>
      </c>
      <c r="H244" s="2" t="s">
        <v>591</v>
      </c>
      <c r="I244" s="30"/>
      <c r="J244" s="30"/>
      <c r="K244" s="30" t="s">
        <v>481</v>
      </c>
      <c r="L244" s="2"/>
      <c r="M244" s="2"/>
      <c r="N244" s="2"/>
      <c r="O244" s="30" t="s">
        <v>160</v>
      </c>
      <c r="P244" s="30"/>
      <c r="Q244" s="2"/>
      <c r="R244" s="2"/>
      <c r="S244" s="4"/>
      <c r="T244" s="4"/>
    </row>
    <row r="245" spans="1:20" ht="40.5">
      <c r="A245" s="1">
        <v>244</v>
      </c>
      <c r="B245" s="1" t="s">
        <v>1064</v>
      </c>
      <c r="C245" s="1" t="s">
        <v>555</v>
      </c>
      <c r="D245" s="1">
        <f t="shared" si="7"/>
        <v>5</v>
      </c>
      <c r="E245" s="1" t="str">
        <f t="shared" si="6"/>
        <v>SFR-030-005</v>
      </c>
      <c r="F245" s="38" t="s">
        <v>1066</v>
      </c>
      <c r="G245" s="2" t="s">
        <v>439</v>
      </c>
      <c r="H245" s="2" t="s">
        <v>328</v>
      </c>
      <c r="I245" s="30"/>
      <c r="J245" s="30"/>
      <c r="K245" s="30" t="s">
        <v>481</v>
      </c>
      <c r="L245" s="2"/>
      <c r="M245" s="2"/>
      <c r="N245" s="2"/>
      <c r="O245" s="30" t="s">
        <v>160</v>
      </c>
      <c r="P245" s="30"/>
      <c r="Q245" s="2"/>
      <c r="R245" s="2"/>
      <c r="S245" s="4" t="s">
        <v>108</v>
      </c>
      <c r="T245" s="4"/>
    </row>
    <row r="246" spans="1:20" ht="27">
      <c r="A246" s="1">
        <v>245</v>
      </c>
      <c r="B246" s="1" t="s">
        <v>1064</v>
      </c>
      <c r="C246" s="1" t="s">
        <v>555</v>
      </c>
      <c r="D246" s="1">
        <f t="shared" si="7"/>
        <v>6</v>
      </c>
      <c r="E246" s="1" t="str">
        <f t="shared" si="6"/>
        <v>SFR-030-006</v>
      </c>
      <c r="F246" s="38" t="s">
        <v>1066</v>
      </c>
      <c r="G246" s="2" t="s">
        <v>439</v>
      </c>
      <c r="H246" s="2" t="s">
        <v>391</v>
      </c>
      <c r="I246" s="30"/>
      <c r="J246" s="30"/>
      <c r="K246" s="30" t="s">
        <v>481</v>
      </c>
      <c r="L246" s="2"/>
      <c r="M246" s="2"/>
      <c r="N246" s="2"/>
      <c r="O246" s="30" t="s">
        <v>160</v>
      </c>
      <c r="P246" s="30"/>
      <c r="Q246" s="2"/>
      <c r="R246" s="2"/>
      <c r="S246" s="4"/>
      <c r="T246" s="4"/>
    </row>
    <row r="247" spans="1:20" ht="27">
      <c r="A247" s="1">
        <v>246</v>
      </c>
      <c r="B247" s="1" t="s">
        <v>546</v>
      </c>
      <c r="C247" s="1" t="s">
        <v>517</v>
      </c>
      <c r="D247" s="1">
        <f t="shared" si="7"/>
        <v>1</v>
      </c>
      <c r="E247" s="1" t="str">
        <f t="shared" si="6"/>
        <v>SFR-031-001</v>
      </c>
      <c r="F247" s="4" t="s">
        <v>122</v>
      </c>
      <c r="G247" s="2" t="s">
        <v>757</v>
      </c>
      <c r="H247" s="2" t="s">
        <v>389</v>
      </c>
      <c r="I247" s="30">
        <v>10</v>
      </c>
      <c r="J247" s="30">
        <v>1.56</v>
      </c>
      <c r="K247" s="30"/>
      <c r="L247" s="2"/>
      <c r="M247" s="2"/>
      <c r="N247" s="2"/>
      <c r="O247" s="30" t="s">
        <v>160</v>
      </c>
      <c r="P247" s="30"/>
      <c r="Q247" s="2"/>
      <c r="R247" s="2"/>
      <c r="S247" s="4"/>
      <c r="T247" s="4"/>
    </row>
    <row r="248" spans="1:20" ht="40.5">
      <c r="A248" s="1">
        <v>247</v>
      </c>
      <c r="B248" s="1" t="s">
        <v>546</v>
      </c>
      <c r="C248" s="1" t="s">
        <v>517</v>
      </c>
      <c r="D248" s="1">
        <f t="shared" si="7"/>
        <v>2</v>
      </c>
      <c r="E248" s="1" t="str">
        <f t="shared" si="6"/>
        <v>SFR-031-002</v>
      </c>
      <c r="F248" s="4" t="s">
        <v>122</v>
      </c>
      <c r="G248" s="2" t="s">
        <v>757</v>
      </c>
      <c r="H248" s="2" t="s">
        <v>190</v>
      </c>
      <c r="I248" s="30"/>
      <c r="J248" s="30"/>
      <c r="K248" s="30" t="s">
        <v>481</v>
      </c>
      <c r="L248" s="2"/>
      <c r="M248" s="2"/>
      <c r="N248" s="2"/>
      <c r="O248" s="30" t="s">
        <v>160</v>
      </c>
      <c r="P248" s="30"/>
      <c r="Q248" s="2"/>
      <c r="R248" s="2"/>
      <c r="S248" s="4"/>
      <c r="T248" s="4"/>
    </row>
    <row r="249" spans="1:20">
      <c r="A249" s="1">
        <v>248</v>
      </c>
      <c r="B249" s="1" t="s">
        <v>546</v>
      </c>
      <c r="C249" s="1" t="s">
        <v>517</v>
      </c>
      <c r="D249" s="1">
        <f t="shared" si="7"/>
        <v>3</v>
      </c>
      <c r="E249" s="1" t="str">
        <f t="shared" si="6"/>
        <v>SFR-031-003</v>
      </c>
      <c r="F249" s="4" t="s">
        <v>122</v>
      </c>
      <c r="G249" s="2" t="s">
        <v>757</v>
      </c>
      <c r="H249" s="2" t="s">
        <v>73</v>
      </c>
      <c r="I249" s="30"/>
      <c r="J249" s="30"/>
      <c r="K249" s="30" t="s">
        <v>481</v>
      </c>
      <c r="L249" s="2"/>
      <c r="M249" s="2"/>
      <c r="N249" s="2"/>
      <c r="O249" s="30" t="s">
        <v>160</v>
      </c>
      <c r="P249" s="30"/>
      <c r="Q249" s="2"/>
      <c r="R249" s="2"/>
      <c r="S249" s="4"/>
      <c r="T249" s="4"/>
    </row>
    <row r="250" spans="1:20" ht="27">
      <c r="A250" s="1">
        <v>249</v>
      </c>
      <c r="B250" s="1" t="s">
        <v>546</v>
      </c>
      <c r="C250" s="1" t="s">
        <v>517</v>
      </c>
      <c r="D250" s="1">
        <f t="shared" si="7"/>
        <v>4</v>
      </c>
      <c r="E250" s="1" t="str">
        <f t="shared" si="6"/>
        <v>SFR-031-004</v>
      </c>
      <c r="F250" s="4" t="s">
        <v>122</v>
      </c>
      <c r="G250" s="2" t="s">
        <v>176</v>
      </c>
      <c r="H250" s="2" t="s">
        <v>239</v>
      </c>
      <c r="I250" s="30">
        <v>10</v>
      </c>
      <c r="J250" s="30">
        <v>1.57</v>
      </c>
      <c r="K250" s="30"/>
      <c r="L250" s="2"/>
      <c r="M250" s="2"/>
      <c r="N250" s="2"/>
      <c r="O250" s="30" t="s">
        <v>160</v>
      </c>
      <c r="P250" s="30"/>
      <c r="Q250" s="2"/>
      <c r="R250" s="6" t="s">
        <v>700</v>
      </c>
      <c r="S250" s="4"/>
      <c r="T250" s="4"/>
    </row>
    <row r="251" spans="1:20" ht="27">
      <c r="A251" s="1">
        <v>250</v>
      </c>
      <c r="B251" s="1" t="s">
        <v>546</v>
      </c>
      <c r="C251" s="1" t="s">
        <v>517</v>
      </c>
      <c r="D251" s="1">
        <f t="shared" si="7"/>
        <v>5</v>
      </c>
      <c r="E251" s="1" t="str">
        <f t="shared" si="6"/>
        <v>SFR-031-005</v>
      </c>
      <c r="F251" s="4" t="s">
        <v>122</v>
      </c>
      <c r="G251" s="2" t="s">
        <v>176</v>
      </c>
      <c r="H251" s="2" t="s">
        <v>385</v>
      </c>
      <c r="I251" s="30"/>
      <c r="J251" s="30"/>
      <c r="K251" s="30" t="s">
        <v>481</v>
      </c>
      <c r="L251" s="2"/>
      <c r="M251" s="2"/>
      <c r="N251" s="2"/>
      <c r="O251" s="30" t="s">
        <v>160</v>
      </c>
      <c r="P251" s="30"/>
      <c r="Q251" s="2"/>
      <c r="R251" s="6"/>
      <c r="S251" s="4"/>
      <c r="T251" s="4"/>
    </row>
    <row r="252" spans="1:20" ht="27">
      <c r="A252" s="1">
        <v>251</v>
      </c>
      <c r="B252" s="1" t="s">
        <v>546</v>
      </c>
      <c r="C252" s="1" t="s">
        <v>517</v>
      </c>
      <c r="D252" s="1">
        <f t="shared" si="7"/>
        <v>6</v>
      </c>
      <c r="E252" s="1" t="str">
        <f t="shared" si="6"/>
        <v>SFR-031-006</v>
      </c>
      <c r="F252" s="4" t="s">
        <v>122</v>
      </c>
      <c r="G252" s="2" t="s">
        <v>441</v>
      </c>
      <c r="H252" s="2" t="s">
        <v>390</v>
      </c>
      <c r="I252" s="30"/>
      <c r="J252" s="30"/>
      <c r="K252" s="30" t="s">
        <v>481</v>
      </c>
      <c r="L252" s="2"/>
      <c r="M252" s="2"/>
      <c r="N252" s="2"/>
      <c r="O252" s="30" t="s">
        <v>160</v>
      </c>
      <c r="P252" s="30"/>
      <c r="Q252" s="2"/>
      <c r="R252" s="6"/>
      <c r="S252" s="4"/>
      <c r="T252" s="4"/>
    </row>
    <row r="253" spans="1:20" ht="27">
      <c r="A253" s="1">
        <v>252</v>
      </c>
      <c r="B253" s="1" t="s">
        <v>546</v>
      </c>
      <c r="C253" s="1" t="s">
        <v>517</v>
      </c>
      <c r="D253" s="1">
        <f t="shared" si="7"/>
        <v>7</v>
      </c>
      <c r="E253" s="1" t="str">
        <f t="shared" si="6"/>
        <v>SFR-031-007</v>
      </c>
      <c r="F253" s="4" t="s">
        <v>122</v>
      </c>
      <c r="G253" s="2" t="s">
        <v>441</v>
      </c>
      <c r="H253" s="2" t="s">
        <v>206</v>
      </c>
      <c r="I253" s="30"/>
      <c r="J253" s="30"/>
      <c r="K253" s="30" t="s">
        <v>481</v>
      </c>
      <c r="L253" s="2"/>
      <c r="M253" s="2"/>
      <c r="N253" s="2"/>
      <c r="O253" s="30" t="s">
        <v>160</v>
      </c>
      <c r="P253" s="30"/>
      <c r="Q253" s="2"/>
      <c r="R253" s="6"/>
      <c r="S253" s="4"/>
      <c r="T253" s="4"/>
    </row>
    <row r="254" spans="1:20">
      <c r="A254" s="1">
        <v>253</v>
      </c>
      <c r="B254" s="1" t="s">
        <v>546</v>
      </c>
      <c r="C254" s="1" t="s">
        <v>517</v>
      </c>
      <c r="D254" s="1">
        <f t="shared" si="7"/>
        <v>8</v>
      </c>
      <c r="E254" s="1" t="str">
        <f t="shared" si="6"/>
        <v>SFR-031-008</v>
      </c>
      <c r="F254" s="4" t="s">
        <v>122</v>
      </c>
      <c r="G254" s="2" t="s">
        <v>738</v>
      </c>
      <c r="H254" s="2"/>
      <c r="I254" s="30">
        <v>10</v>
      </c>
      <c r="J254" s="30">
        <v>1.58</v>
      </c>
      <c r="K254" s="30"/>
      <c r="L254" s="2"/>
      <c r="M254" s="2"/>
      <c r="N254" s="2"/>
      <c r="O254" s="30" t="s">
        <v>160</v>
      </c>
      <c r="P254" s="30"/>
      <c r="Q254" s="2"/>
      <c r="R254" s="6"/>
      <c r="S254" s="4" t="s">
        <v>687</v>
      </c>
      <c r="T254" s="4"/>
    </row>
    <row r="255" spans="1:20">
      <c r="A255" s="1">
        <v>254</v>
      </c>
      <c r="B255" s="1" t="s">
        <v>546</v>
      </c>
      <c r="C255" s="1" t="s">
        <v>539</v>
      </c>
      <c r="D255" s="1">
        <f t="shared" si="7"/>
        <v>1</v>
      </c>
      <c r="E255" s="1" t="str">
        <f t="shared" si="6"/>
        <v>SFR-032-001</v>
      </c>
      <c r="F255" s="4" t="s">
        <v>130</v>
      </c>
      <c r="G255" s="2" t="s">
        <v>755</v>
      </c>
      <c r="H255" s="2" t="s">
        <v>713</v>
      </c>
      <c r="I255" s="30"/>
      <c r="J255" s="30"/>
      <c r="K255" s="30" t="s">
        <v>481</v>
      </c>
      <c r="L255" s="2"/>
      <c r="M255" s="2"/>
      <c r="N255" s="2"/>
      <c r="O255" s="30" t="s">
        <v>160</v>
      </c>
      <c r="P255" s="30"/>
      <c r="Q255" s="2" t="s">
        <v>487</v>
      </c>
      <c r="R255" s="2" t="s">
        <v>956</v>
      </c>
      <c r="S255" s="4" t="s">
        <v>939</v>
      </c>
      <c r="T255" s="4"/>
    </row>
    <row r="256" spans="1:20">
      <c r="A256" s="1">
        <v>255</v>
      </c>
      <c r="B256" s="1" t="s">
        <v>546</v>
      </c>
      <c r="C256" s="1" t="s">
        <v>539</v>
      </c>
      <c r="D256" s="1">
        <f t="shared" si="7"/>
        <v>2</v>
      </c>
      <c r="E256" s="1" t="str">
        <f t="shared" si="6"/>
        <v>SFR-032-002</v>
      </c>
      <c r="F256" s="4" t="s">
        <v>130</v>
      </c>
      <c r="G256" s="2" t="s">
        <v>755</v>
      </c>
      <c r="H256" s="2" t="s">
        <v>72</v>
      </c>
      <c r="I256" s="30"/>
      <c r="J256" s="30"/>
      <c r="K256" s="30" t="s">
        <v>481</v>
      </c>
      <c r="L256" s="2"/>
      <c r="M256" s="2"/>
      <c r="N256" s="2"/>
      <c r="O256" s="30" t="s">
        <v>160</v>
      </c>
      <c r="P256" s="30"/>
      <c r="Q256" s="2" t="s">
        <v>487</v>
      </c>
      <c r="R256" s="2"/>
      <c r="S256" s="4"/>
      <c r="T256" s="4"/>
    </row>
    <row r="257" spans="1:20" ht="27">
      <c r="A257" s="1">
        <v>256</v>
      </c>
      <c r="B257" s="1" t="s">
        <v>546</v>
      </c>
      <c r="C257" s="1" t="s">
        <v>539</v>
      </c>
      <c r="D257" s="1">
        <f t="shared" si="7"/>
        <v>3</v>
      </c>
      <c r="E257" s="1" t="str">
        <f t="shared" si="6"/>
        <v>SFR-032-003</v>
      </c>
      <c r="F257" s="4" t="s">
        <v>130</v>
      </c>
      <c r="G257" s="2" t="s">
        <v>755</v>
      </c>
      <c r="H257" s="2" t="s">
        <v>284</v>
      </c>
      <c r="I257" s="30"/>
      <c r="J257" s="30"/>
      <c r="K257" s="30" t="s">
        <v>481</v>
      </c>
      <c r="L257" s="2"/>
      <c r="M257" s="2"/>
      <c r="N257" s="2"/>
      <c r="O257" s="30" t="s">
        <v>160</v>
      </c>
      <c r="P257" s="30"/>
      <c r="Q257" s="2" t="s">
        <v>487</v>
      </c>
      <c r="R257" s="2"/>
      <c r="S257" s="4"/>
      <c r="T257" s="4"/>
    </row>
    <row r="258" spans="1:20" ht="27">
      <c r="A258" s="1">
        <v>257</v>
      </c>
      <c r="B258" s="1" t="s">
        <v>546</v>
      </c>
      <c r="C258" s="1" t="s">
        <v>539</v>
      </c>
      <c r="D258" s="1">
        <f t="shared" si="7"/>
        <v>4</v>
      </c>
      <c r="E258" s="1" t="str">
        <f t="shared" si="6"/>
        <v>SFR-032-004</v>
      </c>
      <c r="F258" s="4" t="s">
        <v>130</v>
      </c>
      <c r="G258" s="2" t="s">
        <v>379</v>
      </c>
      <c r="H258" s="2" t="s">
        <v>764</v>
      </c>
      <c r="I258" s="30"/>
      <c r="J258" s="30"/>
      <c r="K258" s="30" t="s">
        <v>481</v>
      </c>
      <c r="L258" s="2"/>
      <c r="M258" s="2"/>
      <c r="N258" s="2"/>
      <c r="O258" s="30" t="s">
        <v>160</v>
      </c>
      <c r="P258" s="30"/>
      <c r="Q258" s="2" t="s">
        <v>487</v>
      </c>
      <c r="R258" s="2"/>
      <c r="S258" s="4" t="s">
        <v>939</v>
      </c>
      <c r="T258" s="4"/>
    </row>
    <row r="259" spans="1:20" ht="27">
      <c r="A259" s="1">
        <v>258</v>
      </c>
      <c r="B259" s="1" t="s">
        <v>546</v>
      </c>
      <c r="C259" s="1" t="s">
        <v>539</v>
      </c>
      <c r="D259" s="1">
        <f t="shared" si="7"/>
        <v>5</v>
      </c>
      <c r="E259" s="1" t="str">
        <f t="shared" ref="E259:E322" si="8">C259&amp;"-"&amp;TEXT(D259,"000")</f>
        <v>SFR-032-005</v>
      </c>
      <c r="F259" s="4" t="s">
        <v>130</v>
      </c>
      <c r="G259" s="2" t="s">
        <v>379</v>
      </c>
      <c r="H259" s="2" t="s">
        <v>634</v>
      </c>
      <c r="I259" s="30"/>
      <c r="J259" s="30"/>
      <c r="K259" s="30" t="s">
        <v>481</v>
      </c>
      <c r="L259" s="2"/>
      <c r="M259" s="2"/>
      <c r="N259" s="2"/>
      <c r="O259" s="30" t="s">
        <v>160</v>
      </c>
      <c r="P259" s="30"/>
      <c r="Q259" s="2" t="s">
        <v>487</v>
      </c>
      <c r="R259" s="2"/>
      <c r="S259" s="4"/>
      <c r="T259" s="4"/>
    </row>
    <row r="260" spans="1:20" ht="27">
      <c r="A260" s="1">
        <v>259</v>
      </c>
      <c r="B260" s="1" t="s">
        <v>546</v>
      </c>
      <c r="C260" s="1" t="s">
        <v>539</v>
      </c>
      <c r="D260" s="1">
        <f t="shared" ref="D260:D323" si="9">IF(C259=C260,D259+1,1)</f>
        <v>6</v>
      </c>
      <c r="E260" s="1" t="str">
        <f t="shared" si="8"/>
        <v>SFR-032-006</v>
      </c>
      <c r="F260" s="4" t="s">
        <v>130</v>
      </c>
      <c r="G260" s="2" t="s">
        <v>379</v>
      </c>
      <c r="H260" s="2" t="s">
        <v>290</v>
      </c>
      <c r="I260" s="30"/>
      <c r="J260" s="30"/>
      <c r="K260" s="30" t="s">
        <v>481</v>
      </c>
      <c r="L260" s="2"/>
      <c r="M260" s="2"/>
      <c r="N260" s="2"/>
      <c r="O260" s="30" t="s">
        <v>160</v>
      </c>
      <c r="P260" s="30"/>
      <c r="Q260" s="2" t="s">
        <v>487</v>
      </c>
      <c r="R260" s="2"/>
      <c r="S260" s="4"/>
      <c r="T260" s="4"/>
    </row>
    <row r="261" spans="1:20" ht="27">
      <c r="A261" s="1">
        <v>260</v>
      </c>
      <c r="B261" s="1" t="s">
        <v>546</v>
      </c>
      <c r="C261" s="1" t="s">
        <v>539</v>
      </c>
      <c r="D261" s="1">
        <f t="shared" si="9"/>
        <v>7</v>
      </c>
      <c r="E261" s="1" t="str">
        <f t="shared" si="8"/>
        <v>SFR-032-007</v>
      </c>
      <c r="F261" s="4" t="s">
        <v>130</v>
      </c>
      <c r="G261" s="2" t="s">
        <v>379</v>
      </c>
      <c r="H261" s="2" t="s">
        <v>66</v>
      </c>
      <c r="I261" s="30"/>
      <c r="J261" s="30"/>
      <c r="K261" s="30" t="s">
        <v>481</v>
      </c>
      <c r="L261" s="2"/>
      <c r="M261" s="2"/>
      <c r="N261" s="2"/>
      <c r="O261" s="30" t="s">
        <v>160</v>
      </c>
      <c r="P261" s="30"/>
      <c r="Q261" s="2" t="s">
        <v>487</v>
      </c>
      <c r="R261" s="2"/>
      <c r="S261" s="4"/>
      <c r="T261" s="4"/>
    </row>
    <row r="262" spans="1:20" ht="27">
      <c r="A262" s="1">
        <v>261</v>
      </c>
      <c r="B262" s="1" t="s">
        <v>546</v>
      </c>
      <c r="C262" s="1" t="s">
        <v>539</v>
      </c>
      <c r="D262" s="1">
        <f t="shared" si="9"/>
        <v>8</v>
      </c>
      <c r="E262" s="1" t="str">
        <f t="shared" si="8"/>
        <v>SFR-032-008</v>
      </c>
      <c r="F262" s="4" t="s">
        <v>130</v>
      </c>
      <c r="G262" s="2" t="s">
        <v>379</v>
      </c>
      <c r="H262" s="2" t="s">
        <v>61</v>
      </c>
      <c r="I262" s="30"/>
      <c r="J262" s="30"/>
      <c r="K262" s="30" t="s">
        <v>481</v>
      </c>
      <c r="L262" s="2"/>
      <c r="M262" s="2"/>
      <c r="N262" s="2"/>
      <c r="O262" s="30" t="s">
        <v>160</v>
      </c>
      <c r="P262" s="30"/>
      <c r="Q262" s="2" t="s">
        <v>487</v>
      </c>
      <c r="R262" s="2"/>
      <c r="S262" s="4"/>
      <c r="T262" s="4"/>
    </row>
    <row r="263" spans="1:20" ht="27">
      <c r="A263" s="1">
        <v>262</v>
      </c>
      <c r="B263" s="1" t="s">
        <v>546</v>
      </c>
      <c r="C263" s="1" t="s">
        <v>539</v>
      </c>
      <c r="D263" s="1">
        <f t="shared" si="9"/>
        <v>9</v>
      </c>
      <c r="E263" s="1" t="str">
        <f t="shared" si="8"/>
        <v>SFR-032-009</v>
      </c>
      <c r="F263" s="4" t="s">
        <v>130</v>
      </c>
      <c r="G263" s="2" t="s">
        <v>379</v>
      </c>
      <c r="H263" s="2" t="s">
        <v>438</v>
      </c>
      <c r="I263" s="30"/>
      <c r="J263" s="30"/>
      <c r="K263" s="30" t="s">
        <v>481</v>
      </c>
      <c r="L263" s="2"/>
      <c r="M263" s="2"/>
      <c r="N263" s="2"/>
      <c r="O263" s="30" t="s">
        <v>160</v>
      </c>
      <c r="P263" s="30"/>
      <c r="Q263" s="2" t="s">
        <v>487</v>
      </c>
      <c r="R263" s="2"/>
      <c r="S263" s="4"/>
      <c r="T263" s="4"/>
    </row>
    <row r="264" spans="1:20">
      <c r="A264" s="1">
        <v>263</v>
      </c>
      <c r="B264" s="1" t="s">
        <v>546</v>
      </c>
      <c r="C264" s="1" t="s">
        <v>539</v>
      </c>
      <c r="D264" s="1">
        <f t="shared" si="9"/>
        <v>10</v>
      </c>
      <c r="E264" s="1" t="str">
        <f t="shared" si="8"/>
        <v>SFR-032-010</v>
      </c>
      <c r="F264" s="4" t="s">
        <v>130</v>
      </c>
      <c r="G264" s="2" t="s">
        <v>718</v>
      </c>
      <c r="H264" s="2"/>
      <c r="I264" s="30"/>
      <c r="J264" s="30"/>
      <c r="K264" s="30" t="s">
        <v>481</v>
      </c>
      <c r="L264" s="2"/>
      <c r="M264" s="2"/>
      <c r="N264" s="2"/>
      <c r="O264" s="30" t="s">
        <v>160</v>
      </c>
      <c r="P264" s="30"/>
      <c r="Q264" s="2" t="s">
        <v>487</v>
      </c>
      <c r="R264" s="2"/>
      <c r="S264" s="4" t="s">
        <v>939</v>
      </c>
      <c r="T264" s="4"/>
    </row>
    <row r="265" spans="1:20">
      <c r="A265" s="1">
        <v>264</v>
      </c>
      <c r="B265" s="1" t="s">
        <v>546</v>
      </c>
      <c r="C265" s="1" t="s">
        <v>539</v>
      </c>
      <c r="D265" s="1">
        <f t="shared" si="9"/>
        <v>11</v>
      </c>
      <c r="E265" s="1" t="str">
        <f t="shared" si="8"/>
        <v>SFR-032-011</v>
      </c>
      <c r="F265" s="4" t="s">
        <v>130</v>
      </c>
      <c r="G265" s="2" t="s">
        <v>624</v>
      </c>
      <c r="H265" s="2"/>
      <c r="I265" s="30"/>
      <c r="J265" s="30"/>
      <c r="K265" s="30" t="s">
        <v>481</v>
      </c>
      <c r="L265" s="2"/>
      <c r="M265" s="2"/>
      <c r="N265" s="2"/>
      <c r="O265" s="30" t="s">
        <v>160</v>
      </c>
      <c r="P265" s="30"/>
      <c r="Q265" s="2" t="s">
        <v>487</v>
      </c>
      <c r="R265" s="2"/>
      <c r="S265" s="4" t="s">
        <v>939</v>
      </c>
      <c r="T265" s="4"/>
    </row>
    <row r="266" spans="1:20">
      <c r="A266" s="1">
        <v>265</v>
      </c>
      <c r="B266" s="1" t="s">
        <v>546</v>
      </c>
      <c r="C266" s="1" t="s">
        <v>539</v>
      </c>
      <c r="D266" s="1">
        <f t="shared" si="9"/>
        <v>12</v>
      </c>
      <c r="E266" s="1" t="str">
        <f t="shared" si="8"/>
        <v>SFR-032-012</v>
      </c>
      <c r="F266" s="4" t="s">
        <v>130</v>
      </c>
      <c r="G266" s="2" t="s">
        <v>745</v>
      </c>
      <c r="H266" s="2"/>
      <c r="I266" s="30"/>
      <c r="J266" s="30"/>
      <c r="K266" s="30" t="s">
        <v>481</v>
      </c>
      <c r="L266" s="2"/>
      <c r="M266" s="2"/>
      <c r="N266" s="2"/>
      <c r="O266" s="30" t="s">
        <v>160</v>
      </c>
      <c r="P266" s="30"/>
      <c r="Q266" s="2" t="s">
        <v>487</v>
      </c>
      <c r="R266" s="2"/>
      <c r="S266" s="4" t="s">
        <v>939</v>
      </c>
      <c r="T266" s="4"/>
    </row>
    <row r="267" spans="1:20" ht="40.5">
      <c r="A267" s="1">
        <v>266</v>
      </c>
      <c r="B267" s="1" t="s">
        <v>546</v>
      </c>
      <c r="C267" s="1" t="s">
        <v>568</v>
      </c>
      <c r="D267" s="1">
        <f t="shared" si="9"/>
        <v>1</v>
      </c>
      <c r="E267" s="1" t="str">
        <f t="shared" si="8"/>
        <v>SFR-033-001</v>
      </c>
      <c r="F267" s="4" t="s">
        <v>673</v>
      </c>
      <c r="G267" s="2" t="s">
        <v>167</v>
      </c>
      <c r="H267" s="2" t="s">
        <v>35</v>
      </c>
      <c r="I267" s="30">
        <v>10</v>
      </c>
      <c r="J267" s="30">
        <v>1.59</v>
      </c>
      <c r="K267" s="30"/>
      <c r="L267" s="2"/>
      <c r="M267" s="2"/>
      <c r="N267" s="2"/>
      <c r="O267" s="30" t="s">
        <v>160</v>
      </c>
      <c r="P267" s="30"/>
      <c r="Q267" s="2"/>
      <c r="R267" s="2" t="s">
        <v>111</v>
      </c>
      <c r="S267" s="4" t="s">
        <v>57</v>
      </c>
      <c r="T267" s="4"/>
    </row>
    <row r="268" spans="1:20" ht="54">
      <c r="A268" s="1">
        <v>267</v>
      </c>
      <c r="B268" s="1" t="s">
        <v>546</v>
      </c>
      <c r="C268" s="1" t="s">
        <v>568</v>
      </c>
      <c r="D268" s="1">
        <f t="shared" si="9"/>
        <v>2</v>
      </c>
      <c r="E268" s="1" t="str">
        <f t="shared" si="8"/>
        <v>SFR-033-002</v>
      </c>
      <c r="F268" s="4" t="s">
        <v>673</v>
      </c>
      <c r="G268" s="2" t="s">
        <v>167</v>
      </c>
      <c r="H268" s="2" t="s">
        <v>348</v>
      </c>
      <c r="I268" s="30"/>
      <c r="J268" s="30"/>
      <c r="K268" s="30" t="s">
        <v>481</v>
      </c>
      <c r="L268" s="2"/>
      <c r="M268" s="2"/>
      <c r="N268" s="2"/>
      <c r="O268" s="30" t="s">
        <v>160</v>
      </c>
      <c r="P268" s="30"/>
      <c r="Q268" s="2"/>
      <c r="R268" s="2"/>
      <c r="S268" s="4"/>
      <c r="T268" s="4"/>
    </row>
    <row r="269" spans="1:20" ht="27">
      <c r="A269" s="1">
        <v>268</v>
      </c>
      <c r="B269" s="1" t="s">
        <v>546</v>
      </c>
      <c r="C269" s="1" t="s">
        <v>568</v>
      </c>
      <c r="D269" s="1">
        <f t="shared" si="9"/>
        <v>3</v>
      </c>
      <c r="E269" s="1" t="str">
        <f t="shared" si="8"/>
        <v>SFR-033-003</v>
      </c>
      <c r="F269" s="4" t="s">
        <v>673</v>
      </c>
      <c r="G269" s="2" t="s">
        <v>167</v>
      </c>
      <c r="H269" s="2" t="s">
        <v>633</v>
      </c>
      <c r="I269" s="30"/>
      <c r="J269" s="30"/>
      <c r="K269" s="30" t="s">
        <v>481</v>
      </c>
      <c r="L269" s="2"/>
      <c r="M269" s="2"/>
      <c r="N269" s="2"/>
      <c r="O269" s="30" t="s">
        <v>160</v>
      </c>
      <c r="P269" s="30"/>
      <c r="Q269" s="2"/>
      <c r="R269" s="2"/>
      <c r="S269" s="4"/>
      <c r="T269" s="4"/>
    </row>
    <row r="270" spans="1:20" ht="27">
      <c r="A270" s="1">
        <v>269</v>
      </c>
      <c r="B270" s="1" t="s">
        <v>546</v>
      </c>
      <c r="C270" s="1" t="s">
        <v>568</v>
      </c>
      <c r="D270" s="1">
        <f t="shared" si="9"/>
        <v>4</v>
      </c>
      <c r="E270" s="1" t="str">
        <f t="shared" si="8"/>
        <v>SFR-033-004</v>
      </c>
      <c r="F270" s="4" t="s">
        <v>673</v>
      </c>
      <c r="G270" s="2" t="s">
        <v>307</v>
      </c>
      <c r="H270" s="2"/>
      <c r="I270" s="30"/>
      <c r="J270" s="30"/>
      <c r="K270" s="30" t="s">
        <v>481</v>
      </c>
      <c r="L270" s="2"/>
      <c r="M270" s="2"/>
      <c r="N270" s="2"/>
      <c r="O270" s="30" t="s">
        <v>160</v>
      </c>
      <c r="P270" s="30"/>
      <c r="Q270" s="2"/>
      <c r="R270" s="2"/>
      <c r="S270" s="4"/>
      <c r="T270" s="4"/>
    </row>
    <row r="271" spans="1:20" ht="175.5">
      <c r="A271" s="1">
        <v>270</v>
      </c>
      <c r="B271" s="1" t="s">
        <v>546</v>
      </c>
      <c r="C271" s="1" t="s">
        <v>566</v>
      </c>
      <c r="D271" s="1">
        <f t="shared" si="9"/>
        <v>1</v>
      </c>
      <c r="E271" s="1" t="str">
        <f t="shared" si="8"/>
        <v>SFR-034-001</v>
      </c>
      <c r="F271" s="4" t="s">
        <v>1073</v>
      </c>
      <c r="G271" s="2" t="s">
        <v>208</v>
      </c>
      <c r="H271" s="2" t="s">
        <v>353</v>
      </c>
      <c r="I271" s="30"/>
      <c r="J271" s="30"/>
      <c r="K271" s="30" t="s">
        <v>481</v>
      </c>
      <c r="L271" s="2"/>
      <c r="M271" s="2"/>
      <c r="N271" s="2"/>
      <c r="O271" s="30" t="s">
        <v>160</v>
      </c>
      <c r="P271" s="30"/>
      <c r="Q271" s="2"/>
      <c r="R271" s="2" t="s">
        <v>222</v>
      </c>
      <c r="S271" s="4" t="s">
        <v>340</v>
      </c>
      <c r="T271" s="4"/>
    </row>
    <row r="272" spans="1:20" ht="27">
      <c r="A272" s="1">
        <v>271</v>
      </c>
      <c r="B272" s="1" t="s">
        <v>546</v>
      </c>
      <c r="C272" s="1" t="s">
        <v>566</v>
      </c>
      <c r="D272" s="1">
        <f t="shared" si="9"/>
        <v>2</v>
      </c>
      <c r="E272" s="1" t="str">
        <f t="shared" si="8"/>
        <v>SFR-034-002</v>
      </c>
      <c r="F272" s="4" t="s">
        <v>1073</v>
      </c>
      <c r="G272" s="2" t="s">
        <v>208</v>
      </c>
      <c r="H272" s="2" t="s">
        <v>212</v>
      </c>
      <c r="I272" s="30"/>
      <c r="J272" s="30"/>
      <c r="K272" s="30" t="s">
        <v>481</v>
      </c>
      <c r="L272" s="2"/>
      <c r="M272" s="2"/>
      <c r="N272" s="2"/>
      <c r="O272" s="30" t="s">
        <v>160</v>
      </c>
      <c r="P272" s="30"/>
      <c r="Q272" s="2"/>
      <c r="R272" s="2"/>
      <c r="S272" s="4"/>
      <c r="T272" s="4"/>
    </row>
    <row r="273" spans="1:20" ht="27">
      <c r="A273" s="1">
        <v>272</v>
      </c>
      <c r="B273" s="1" t="s">
        <v>546</v>
      </c>
      <c r="C273" s="1" t="s">
        <v>566</v>
      </c>
      <c r="D273" s="1">
        <f t="shared" si="9"/>
        <v>3</v>
      </c>
      <c r="E273" s="1" t="str">
        <f t="shared" si="8"/>
        <v>SFR-034-003</v>
      </c>
      <c r="F273" s="4" t="s">
        <v>1073</v>
      </c>
      <c r="G273" s="2" t="s">
        <v>208</v>
      </c>
      <c r="H273" s="2" t="s">
        <v>356</v>
      </c>
      <c r="I273" s="30"/>
      <c r="J273" s="30"/>
      <c r="K273" s="30" t="s">
        <v>481</v>
      </c>
      <c r="L273" s="2"/>
      <c r="M273" s="2"/>
      <c r="N273" s="2"/>
      <c r="O273" s="30" t="s">
        <v>160</v>
      </c>
      <c r="P273" s="30"/>
      <c r="Q273" s="2"/>
      <c r="R273" s="2"/>
      <c r="S273" s="4"/>
      <c r="T273" s="4"/>
    </row>
    <row r="274" spans="1:20" ht="27">
      <c r="A274" s="1">
        <v>273</v>
      </c>
      <c r="B274" s="1" t="s">
        <v>546</v>
      </c>
      <c r="C274" s="1" t="s">
        <v>566</v>
      </c>
      <c r="D274" s="1">
        <f t="shared" si="9"/>
        <v>4</v>
      </c>
      <c r="E274" s="1" t="str">
        <f t="shared" si="8"/>
        <v>SFR-034-004</v>
      </c>
      <c r="F274" s="4" t="s">
        <v>1073</v>
      </c>
      <c r="G274" s="2" t="s">
        <v>208</v>
      </c>
      <c r="H274" s="2" t="s">
        <v>223</v>
      </c>
      <c r="I274" s="30"/>
      <c r="J274" s="30"/>
      <c r="K274" s="30" t="s">
        <v>481</v>
      </c>
      <c r="L274" s="2"/>
      <c r="M274" s="2"/>
      <c r="N274" s="2"/>
      <c r="O274" s="30" t="s">
        <v>160</v>
      </c>
      <c r="P274" s="30"/>
      <c r="Q274" s="2"/>
      <c r="R274" s="2"/>
      <c r="S274" s="4"/>
      <c r="T274" s="4"/>
    </row>
    <row r="275" spans="1:20" ht="40.5">
      <c r="A275" s="1">
        <v>274</v>
      </c>
      <c r="B275" s="1" t="s">
        <v>546</v>
      </c>
      <c r="C275" s="1" t="s">
        <v>566</v>
      </c>
      <c r="D275" s="1">
        <f t="shared" si="9"/>
        <v>5</v>
      </c>
      <c r="E275" s="1" t="str">
        <f t="shared" si="8"/>
        <v>SFR-034-005</v>
      </c>
      <c r="F275" s="4" t="s">
        <v>1073</v>
      </c>
      <c r="G275" s="2" t="s">
        <v>208</v>
      </c>
      <c r="H275" s="2" t="s">
        <v>349</v>
      </c>
      <c r="I275" s="30"/>
      <c r="J275" s="30"/>
      <c r="K275" s="30" t="s">
        <v>481</v>
      </c>
      <c r="L275" s="2"/>
      <c r="M275" s="2"/>
      <c r="N275" s="2"/>
      <c r="O275" s="30" t="s">
        <v>160</v>
      </c>
      <c r="P275" s="30"/>
      <c r="Q275" s="2"/>
      <c r="R275" s="2"/>
      <c r="S275" s="4"/>
      <c r="T275" s="4"/>
    </row>
    <row r="276" spans="1:20">
      <c r="A276" s="1">
        <v>275</v>
      </c>
      <c r="B276" s="1" t="s">
        <v>546</v>
      </c>
      <c r="C276" s="1" t="s">
        <v>566</v>
      </c>
      <c r="D276" s="1">
        <f t="shared" si="9"/>
        <v>6</v>
      </c>
      <c r="E276" s="1" t="str">
        <f t="shared" si="8"/>
        <v>SFR-034-006</v>
      </c>
      <c r="F276" s="4" t="s">
        <v>1073</v>
      </c>
      <c r="G276" s="2" t="s">
        <v>708</v>
      </c>
      <c r="H276" s="2"/>
      <c r="I276" s="30"/>
      <c r="J276" s="30"/>
      <c r="K276" s="30" t="s">
        <v>481</v>
      </c>
      <c r="L276" s="2"/>
      <c r="M276" s="2"/>
      <c r="N276" s="2"/>
      <c r="O276" s="30" t="s">
        <v>160</v>
      </c>
      <c r="P276" s="30"/>
      <c r="Q276" s="2"/>
      <c r="R276" s="2"/>
      <c r="S276" s="4"/>
      <c r="T276" s="4"/>
    </row>
    <row r="277" spans="1:20" ht="40.5">
      <c r="A277" s="1">
        <v>276</v>
      </c>
      <c r="B277" s="1" t="s">
        <v>546</v>
      </c>
      <c r="C277" s="1" t="s">
        <v>566</v>
      </c>
      <c r="D277" s="1">
        <f t="shared" si="9"/>
        <v>7</v>
      </c>
      <c r="E277" s="1" t="str">
        <f t="shared" si="8"/>
        <v>SFR-034-007</v>
      </c>
      <c r="F277" s="4" t="s">
        <v>1073</v>
      </c>
      <c r="G277" s="2" t="s">
        <v>653</v>
      </c>
      <c r="H277" s="2"/>
      <c r="I277" s="30"/>
      <c r="J277" s="30"/>
      <c r="K277" s="30" t="s">
        <v>481</v>
      </c>
      <c r="L277" s="2"/>
      <c r="M277" s="2"/>
      <c r="N277" s="2"/>
      <c r="O277" s="30" t="s">
        <v>160</v>
      </c>
      <c r="P277" s="30"/>
      <c r="Q277" s="2"/>
      <c r="R277" s="2"/>
      <c r="S277" s="4"/>
      <c r="T277" s="4"/>
    </row>
    <row r="278" spans="1:20" ht="40.5">
      <c r="A278" s="1">
        <v>277</v>
      </c>
      <c r="B278" s="1" t="s">
        <v>546</v>
      </c>
      <c r="C278" s="1" t="s">
        <v>566</v>
      </c>
      <c r="D278" s="1">
        <f t="shared" si="9"/>
        <v>8</v>
      </c>
      <c r="E278" s="1" t="str">
        <f t="shared" si="8"/>
        <v>SFR-034-008</v>
      </c>
      <c r="F278" s="4" t="s">
        <v>1073</v>
      </c>
      <c r="G278" s="2" t="s">
        <v>350</v>
      </c>
      <c r="H278" s="2"/>
      <c r="I278" s="30"/>
      <c r="J278" s="30"/>
      <c r="K278" s="30" t="s">
        <v>481</v>
      </c>
      <c r="L278" s="2"/>
      <c r="M278" s="2"/>
      <c r="N278" s="2"/>
      <c r="O278" s="30" t="s">
        <v>160</v>
      </c>
      <c r="P278" s="30"/>
      <c r="Q278" s="2"/>
      <c r="R278" s="2"/>
      <c r="S278" s="4"/>
      <c r="T278" s="4"/>
    </row>
    <row r="279" spans="1:20" ht="40.5">
      <c r="A279" s="1">
        <v>278</v>
      </c>
      <c r="B279" s="1" t="s">
        <v>546</v>
      </c>
      <c r="C279" s="1" t="s">
        <v>566</v>
      </c>
      <c r="D279" s="1">
        <f t="shared" si="9"/>
        <v>9</v>
      </c>
      <c r="E279" s="1" t="str">
        <f t="shared" si="8"/>
        <v>SFR-034-009</v>
      </c>
      <c r="F279" s="4" t="s">
        <v>1073</v>
      </c>
      <c r="G279" s="2" t="s">
        <v>330</v>
      </c>
      <c r="H279" s="2"/>
      <c r="I279" s="30"/>
      <c r="J279" s="30"/>
      <c r="K279" s="30" t="s">
        <v>481</v>
      </c>
      <c r="L279" s="2"/>
      <c r="M279" s="2"/>
      <c r="N279" s="2"/>
      <c r="O279" s="30" t="s">
        <v>160</v>
      </c>
      <c r="P279" s="30"/>
      <c r="Q279" s="2"/>
      <c r="R279" s="2"/>
      <c r="S279" s="4"/>
      <c r="T279" s="4"/>
    </row>
    <row r="280" spans="1:20" ht="40.5">
      <c r="A280" s="1">
        <v>279</v>
      </c>
      <c r="B280" s="1" t="s">
        <v>546</v>
      </c>
      <c r="C280" s="1" t="s">
        <v>566</v>
      </c>
      <c r="D280" s="1">
        <f t="shared" si="9"/>
        <v>10</v>
      </c>
      <c r="E280" s="1" t="str">
        <f t="shared" si="8"/>
        <v>SFR-034-010</v>
      </c>
      <c r="F280" s="4" t="s">
        <v>1073</v>
      </c>
      <c r="G280" s="2" t="s">
        <v>652</v>
      </c>
      <c r="H280" s="2" t="s">
        <v>285</v>
      </c>
      <c r="I280" s="30"/>
      <c r="J280" s="30"/>
      <c r="K280" s="30" t="s">
        <v>481</v>
      </c>
      <c r="L280" s="2"/>
      <c r="M280" s="2"/>
      <c r="N280" s="2"/>
      <c r="O280" s="30" t="s">
        <v>160</v>
      </c>
      <c r="P280" s="30"/>
      <c r="Q280" s="2"/>
      <c r="R280" s="2"/>
      <c r="S280" s="4"/>
      <c r="T280" s="4"/>
    </row>
    <row r="281" spans="1:20" ht="27">
      <c r="A281" s="1">
        <v>280</v>
      </c>
      <c r="B281" s="1" t="s">
        <v>561</v>
      </c>
      <c r="C281" s="1" t="s">
        <v>540</v>
      </c>
      <c r="D281" s="1">
        <f t="shared" si="9"/>
        <v>1</v>
      </c>
      <c r="E281" s="1" t="str">
        <f t="shared" si="8"/>
        <v>SFR-035-001</v>
      </c>
      <c r="F281" s="4" t="s">
        <v>1074</v>
      </c>
      <c r="G281" s="2" t="s">
        <v>734</v>
      </c>
      <c r="H281" s="2" t="s">
        <v>605</v>
      </c>
      <c r="I281" s="30"/>
      <c r="J281" s="30"/>
      <c r="K281" s="30" t="s">
        <v>481</v>
      </c>
      <c r="L281" s="2"/>
      <c r="M281" s="2"/>
      <c r="N281" s="2"/>
      <c r="O281" s="30" t="s">
        <v>160</v>
      </c>
      <c r="P281" s="30"/>
      <c r="Q281" s="2"/>
      <c r="R281" s="6" t="s">
        <v>78</v>
      </c>
      <c r="S281" s="4"/>
      <c r="T281" s="4"/>
    </row>
    <row r="282" spans="1:20">
      <c r="A282" s="1">
        <v>281</v>
      </c>
      <c r="B282" s="1" t="s">
        <v>561</v>
      </c>
      <c r="C282" s="1" t="s">
        <v>540</v>
      </c>
      <c r="D282" s="1">
        <f t="shared" si="9"/>
        <v>2</v>
      </c>
      <c r="E282" s="1" t="str">
        <f t="shared" si="8"/>
        <v>SFR-035-002</v>
      </c>
      <c r="F282" s="4" t="s">
        <v>1074</v>
      </c>
      <c r="G282" s="2" t="s">
        <v>734</v>
      </c>
      <c r="H282" s="2" t="s">
        <v>211</v>
      </c>
      <c r="I282" s="30"/>
      <c r="J282" s="30"/>
      <c r="K282" s="30" t="s">
        <v>481</v>
      </c>
      <c r="L282" s="2"/>
      <c r="M282" s="2"/>
      <c r="N282" s="2"/>
      <c r="O282" s="30" t="s">
        <v>160</v>
      </c>
      <c r="P282" s="30"/>
      <c r="Q282" s="2"/>
      <c r="R282" s="6"/>
      <c r="S282" s="4"/>
      <c r="T282" s="4"/>
    </row>
    <row r="283" spans="1:20" ht="27">
      <c r="A283" s="1">
        <v>282</v>
      </c>
      <c r="B283" s="1" t="s">
        <v>561</v>
      </c>
      <c r="C283" s="1" t="s">
        <v>540</v>
      </c>
      <c r="D283" s="1">
        <f t="shared" si="9"/>
        <v>3</v>
      </c>
      <c r="E283" s="1" t="str">
        <f t="shared" si="8"/>
        <v>SFR-035-003</v>
      </c>
      <c r="F283" s="4" t="s">
        <v>1074</v>
      </c>
      <c r="G283" s="2" t="s">
        <v>734</v>
      </c>
      <c r="H283" s="2" t="s">
        <v>268</v>
      </c>
      <c r="I283" s="30"/>
      <c r="J283" s="30"/>
      <c r="K283" s="30" t="s">
        <v>481</v>
      </c>
      <c r="L283" s="2"/>
      <c r="M283" s="2"/>
      <c r="N283" s="2"/>
      <c r="O283" s="30" t="s">
        <v>160</v>
      </c>
      <c r="P283" s="30"/>
      <c r="Q283" s="2"/>
      <c r="R283" s="6"/>
      <c r="S283" s="4"/>
      <c r="T283" s="4"/>
    </row>
    <row r="284" spans="1:20">
      <c r="A284" s="1">
        <v>283</v>
      </c>
      <c r="B284" s="1" t="s">
        <v>561</v>
      </c>
      <c r="C284" s="1" t="s">
        <v>540</v>
      </c>
      <c r="D284" s="1">
        <f t="shared" si="9"/>
        <v>4</v>
      </c>
      <c r="E284" s="1" t="str">
        <f t="shared" si="8"/>
        <v>SFR-035-004</v>
      </c>
      <c r="F284" s="4" t="s">
        <v>1074</v>
      </c>
      <c r="G284" s="2" t="s">
        <v>173</v>
      </c>
      <c r="H284" s="2" t="s">
        <v>617</v>
      </c>
      <c r="I284" s="30">
        <v>10</v>
      </c>
      <c r="J284" s="32" t="s">
        <v>473</v>
      </c>
      <c r="K284" s="30"/>
      <c r="L284" s="2"/>
      <c r="M284" s="2"/>
      <c r="N284" s="2"/>
      <c r="O284" s="30" t="s">
        <v>160</v>
      </c>
      <c r="P284" s="30"/>
      <c r="Q284" s="2"/>
      <c r="R284" s="6" t="s">
        <v>767</v>
      </c>
      <c r="S284" s="4"/>
      <c r="T284" s="4"/>
    </row>
    <row r="285" spans="1:20" ht="27">
      <c r="A285" s="1">
        <v>284</v>
      </c>
      <c r="B285" s="1" t="s">
        <v>561</v>
      </c>
      <c r="C285" s="1" t="s">
        <v>540</v>
      </c>
      <c r="D285" s="1">
        <f t="shared" si="9"/>
        <v>5</v>
      </c>
      <c r="E285" s="1" t="str">
        <f t="shared" si="8"/>
        <v>SFR-035-005</v>
      </c>
      <c r="F285" s="4" t="s">
        <v>1074</v>
      </c>
      <c r="G285" s="2" t="s">
        <v>768</v>
      </c>
      <c r="H285" s="2" t="s">
        <v>615</v>
      </c>
      <c r="I285" s="30"/>
      <c r="J285" s="30"/>
      <c r="K285" s="30" t="s">
        <v>481</v>
      </c>
      <c r="L285" s="2"/>
      <c r="M285" s="2"/>
      <c r="N285" s="2"/>
      <c r="O285" s="30" t="s">
        <v>160</v>
      </c>
      <c r="P285" s="30"/>
      <c r="Q285" s="2"/>
      <c r="R285" s="6" t="s">
        <v>60</v>
      </c>
      <c r="S285" s="4"/>
      <c r="T285" s="4"/>
    </row>
    <row r="286" spans="1:20" ht="54">
      <c r="A286" s="1">
        <v>285</v>
      </c>
      <c r="B286" s="1" t="s">
        <v>561</v>
      </c>
      <c r="C286" s="1" t="s">
        <v>446</v>
      </c>
      <c r="D286" s="1">
        <f t="shared" si="9"/>
        <v>1</v>
      </c>
      <c r="E286" s="1" t="str">
        <f t="shared" si="8"/>
        <v>SFR-036-001</v>
      </c>
      <c r="F286" s="4" t="s">
        <v>1054</v>
      </c>
      <c r="G286" s="2" t="s">
        <v>440</v>
      </c>
      <c r="H286" s="2" t="s">
        <v>161</v>
      </c>
      <c r="I286" s="30">
        <v>10</v>
      </c>
      <c r="J286" s="30">
        <v>1.61</v>
      </c>
      <c r="K286" s="30"/>
      <c r="L286" s="2"/>
      <c r="M286" s="2"/>
      <c r="N286" s="2"/>
      <c r="O286" s="30" t="s">
        <v>160</v>
      </c>
      <c r="P286" s="30"/>
      <c r="Q286" s="2"/>
      <c r="R286" s="6" t="s">
        <v>413</v>
      </c>
      <c r="S286" s="4" t="s">
        <v>109</v>
      </c>
      <c r="T286" s="4"/>
    </row>
    <row r="287" spans="1:20" ht="27">
      <c r="A287" s="1">
        <v>286</v>
      </c>
      <c r="B287" s="1" t="s">
        <v>561</v>
      </c>
      <c r="C287" s="1" t="s">
        <v>446</v>
      </c>
      <c r="D287" s="1">
        <f t="shared" si="9"/>
        <v>2</v>
      </c>
      <c r="E287" s="1" t="str">
        <f t="shared" si="8"/>
        <v>SFR-036-002</v>
      </c>
      <c r="F287" s="4" t="s">
        <v>1054</v>
      </c>
      <c r="G287" s="2" t="s">
        <v>440</v>
      </c>
      <c r="H287" s="2" t="s">
        <v>288</v>
      </c>
      <c r="I287" s="30"/>
      <c r="J287" s="30"/>
      <c r="K287" s="30" t="s">
        <v>481</v>
      </c>
      <c r="L287" s="2"/>
      <c r="M287" s="2"/>
      <c r="N287" s="2"/>
      <c r="O287" s="30" t="s">
        <v>160</v>
      </c>
      <c r="P287" s="30"/>
      <c r="Q287" s="2"/>
      <c r="R287" s="6"/>
      <c r="S287" s="4"/>
      <c r="T287" s="4"/>
    </row>
    <row r="288" spans="1:20">
      <c r="A288" s="1">
        <v>287</v>
      </c>
      <c r="B288" s="1" t="s">
        <v>561</v>
      </c>
      <c r="C288" s="1" t="s">
        <v>446</v>
      </c>
      <c r="D288" s="1">
        <f t="shared" si="9"/>
        <v>3</v>
      </c>
      <c r="E288" s="1" t="str">
        <f t="shared" si="8"/>
        <v>SFR-036-003</v>
      </c>
      <c r="F288" s="4" t="s">
        <v>1054</v>
      </c>
      <c r="G288" s="2" t="s">
        <v>440</v>
      </c>
      <c r="H288" s="2" t="s">
        <v>220</v>
      </c>
      <c r="I288" s="30"/>
      <c r="J288" s="30"/>
      <c r="K288" s="30" t="s">
        <v>481</v>
      </c>
      <c r="L288" s="2"/>
      <c r="M288" s="2"/>
      <c r="N288" s="2"/>
      <c r="O288" s="30" t="s">
        <v>160</v>
      </c>
      <c r="P288" s="30"/>
      <c r="Q288" s="2"/>
      <c r="R288" s="6"/>
      <c r="S288" s="4"/>
      <c r="T288" s="4"/>
    </row>
    <row r="289" spans="1:20" ht="27">
      <c r="A289" s="1">
        <v>288</v>
      </c>
      <c r="B289" s="1" t="s">
        <v>561</v>
      </c>
      <c r="C289" s="1" t="s">
        <v>446</v>
      </c>
      <c r="D289" s="1">
        <f t="shared" si="9"/>
        <v>4</v>
      </c>
      <c r="E289" s="1" t="str">
        <f t="shared" si="8"/>
        <v>SFR-036-004</v>
      </c>
      <c r="F289" s="4" t="s">
        <v>1054</v>
      </c>
      <c r="G289" s="2" t="s">
        <v>46</v>
      </c>
      <c r="H289" s="2" t="s">
        <v>617</v>
      </c>
      <c r="I289" s="30">
        <v>10</v>
      </c>
      <c r="J289" s="30">
        <v>1.62</v>
      </c>
      <c r="K289" s="30"/>
      <c r="L289" s="2"/>
      <c r="M289" s="2"/>
      <c r="N289" s="2"/>
      <c r="O289" s="30" t="s">
        <v>160</v>
      </c>
      <c r="P289" s="30"/>
      <c r="Q289" s="2"/>
      <c r="R289" s="6" t="s">
        <v>112</v>
      </c>
      <c r="S289" s="4" t="s">
        <v>109</v>
      </c>
      <c r="T289" s="4"/>
    </row>
    <row r="290" spans="1:20" ht="27">
      <c r="A290" s="1">
        <v>289</v>
      </c>
      <c r="B290" s="1" t="s">
        <v>561</v>
      </c>
      <c r="C290" s="1" t="s">
        <v>446</v>
      </c>
      <c r="D290" s="1">
        <f t="shared" si="9"/>
        <v>5</v>
      </c>
      <c r="E290" s="1" t="str">
        <f t="shared" si="8"/>
        <v>SFR-036-005</v>
      </c>
      <c r="F290" s="4" t="s">
        <v>1054</v>
      </c>
      <c r="G290" s="2" t="s">
        <v>46</v>
      </c>
      <c r="H290" s="2" t="s">
        <v>216</v>
      </c>
      <c r="I290" s="30"/>
      <c r="J290" s="30"/>
      <c r="K290" s="30" t="s">
        <v>481</v>
      </c>
      <c r="L290" s="2"/>
      <c r="M290" s="2"/>
      <c r="N290" s="2"/>
      <c r="O290" s="30" t="s">
        <v>160</v>
      </c>
      <c r="P290" s="30"/>
      <c r="Q290" s="2"/>
      <c r="R290" s="6"/>
      <c r="S290" s="4"/>
      <c r="T290" s="4"/>
    </row>
    <row r="291" spans="1:20">
      <c r="A291" s="1">
        <v>290</v>
      </c>
      <c r="B291" s="1" t="s">
        <v>561</v>
      </c>
      <c r="C291" s="1" t="s">
        <v>446</v>
      </c>
      <c r="D291" s="1">
        <f t="shared" si="9"/>
        <v>6</v>
      </c>
      <c r="E291" s="1" t="str">
        <f t="shared" si="8"/>
        <v>SFR-036-006</v>
      </c>
      <c r="F291" s="4" t="s">
        <v>1054</v>
      </c>
      <c r="G291" s="2" t="s">
        <v>46</v>
      </c>
      <c r="H291" s="2" t="s">
        <v>707</v>
      </c>
      <c r="I291" s="30"/>
      <c r="J291" s="30"/>
      <c r="K291" s="30" t="s">
        <v>481</v>
      </c>
      <c r="L291" s="2"/>
      <c r="M291" s="2"/>
      <c r="N291" s="2"/>
      <c r="O291" s="30" t="s">
        <v>160</v>
      </c>
      <c r="P291" s="30"/>
      <c r="Q291" s="2"/>
      <c r="R291" s="6"/>
      <c r="S291" s="4"/>
      <c r="T291" s="4"/>
    </row>
    <row r="292" spans="1:20" ht="27">
      <c r="A292" s="1">
        <v>291</v>
      </c>
      <c r="B292" s="1" t="s">
        <v>561</v>
      </c>
      <c r="C292" s="1" t="s">
        <v>446</v>
      </c>
      <c r="D292" s="1">
        <f t="shared" si="9"/>
        <v>7</v>
      </c>
      <c r="E292" s="1" t="str">
        <f t="shared" si="8"/>
        <v>SFR-036-007</v>
      </c>
      <c r="F292" s="4" t="s">
        <v>1054</v>
      </c>
      <c r="G292" s="2" t="s">
        <v>46</v>
      </c>
      <c r="H292" s="2" t="s">
        <v>387</v>
      </c>
      <c r="I292" s="30"/>
      <c r="J292" s="30"/>
      <c r="K292" s="30" t="s">
        <v>481</v>
      </c>
      <c r="L292" s="2"/>
      <c r="M292" s="2"/>
      <c r="N292" s="2"/>
      <c r="O292" s="30" t="s">
        <v>160</v>
      </c>
      <c r="P292" s="30"/>
      <c r="Q292" s="2"/>
      <c r="R292" s="6"/>
      <c r="S292" s="4"/>
      <c r="T292" s="4"/>
    </row>
    <row r="293" spans="1:20" ht="27">
      <c r="A293" s="1">
        <v>292</v>
      </c>
      <c r="B293" s="1" t="s">
        <v>561</v>
      </c>
      <c r="C293" s="1" t="s">
        <v>446</v>
      </c>
      <c r="D293" s="1">
        <f t="shared" si="9"/>
        <v>8</v>
      </c>
      <c r="E293" s="1" t="str">
        <f t="shared" si="8"/>
        <v>SFR-036-008</v>
      </c>
      <c r="F293" s="4" t="s">
        <v>1054</v>
      </c>
      <c r="G293" s="2" t="s">
        <v>437</v>
      </c>
      <c r="H293" s="2" t="s">
        <v>23</v>
      </c>
      <c r="I293" s="30"/>
      <c r="J293" s="30"/>
      <c r="K293" s="30" t="s">
        <v>481</v>
      </c>
      <c r="L293" s="2"/>
      <c r="M293" s="2"/>
      <c r="N293" s="2"/>
      <c r="O293" s="30" t="s">
        <v>160</v>
      </c>
      <c r="P293" s="30"/>
      <c r="Q293" s="2"/>
      <c r="R293" s="2" t="s">
        <v>670</v>
      </c>
      <c r="S293" s="4" t="s">
        <v>109</v>
      </c>
      <c r="T293" s="4"/>
    </row>
    <row r="294" spans="1:20" ht="27">
      <c r="A294" s="1">
        <v>293</v>
      </c>
      <c r="B294" s="1" t="s">
        <v>561</v>
      </c>
      <c r="C294" s="1" t="s">
        <v>446</v>
      </c>
      <c r="D294" s="1">
        <f t="shared" si="9"/>
        <v>9</v>
      </c>
      <c r="E294" s="1" t="str">
        <f t="shared" si="8"/>
        <v>SFR-036-009</v>
      </c>
      <c r="F294" s="4" t="s">
        <v>1054</v>
      </c>
      <c r="G294" s="2" t="s">
        <v>712</v>
      </c>
      <c r="H294" s="2" t="s">
        <v>76</v>
      </c>
      <c r="I294" s="30">
        <v>10</v>
      </c>
      <c r="J294" s="30">
        <v>1.63</v>
      </c>
      <c r="K294" s="30"/>
      <c r="L294" s="2"/>
      <c r="M294" s="2"/>
      <c r="N294" s="2"/>
      <c r="O294" s="30" t="s">
        <v>160</v>
      </c>
      <c r="P294" s="30"/>
      <c r="Q294" s="2"/>
      <c r="R294" s="2" t="s">
        <v>758</v>
      </c>
      <c r="S294" s="4" t="s">
        <v>109</v>
      </c>
      <c r="T294" s="4"/>
    </row>
    <row r="295" spans="1:20" ht="27">
      <c r="A295" s="1">
        <v>294</v>
      </c>
      <c r="B295" s="1" t="s">
        <v>561</v>
      </c>
      <c r="C295" s="1" t="s">
        <v>446</v>
      </c>
      <c r="D295" s="1">
        <f t="shared" si="9"/>
        <v>10</v>
      </c>
      <c r="E295" s="1" t="str">
        <f t="shared" si="8"/>
        <v>SFR-036-010</v>
      </c>
      <c r="F295" s="4" t="s">
        <v>1054</v>
      </c>
      <c r="G295" s="2" t="s">
        <v>768</v>
      </c>
      <c r="H295" s="2" t="s">
        <v>615</v>
      </c>
      <c r="I295" s="30"/>
      <c r="J295" s="30"/>
      <c r="K295" s="30" t="s">
        <v>481</v>
      </c>
      <c r="L295" s="2"/>
      <c r="M295" s="2"/>
      <c r="N295" s="2"/>
      <c r="O295" s="30" t="s">
        <v>160</v>
      </c>
      <c r="P295" s="30"/>
      <c r="Q295" s="2"/>
      <c r="R295" s="2"/>
      <c r="S295" s="4" t="s">
        <v>109</v>
      </c>
      <c r="T295" s="4"/>
    </row>
    <row r="296" spans="1:20" ht="27">
      <c r="A296" s="1">
        <v>295</v>
      </c>
      <c r="B296" s="1" t="s">
        <v>561</v>
      </c>
      <c r="C296" s="1" t="s">
        <v>446</v>
      </c>
      <c r="D296" s="1">
        <f t="shared" si="9"/>
        <v>11</v>
      </c>
      <c r="E296" s="1" t="str">
        <f t="shared" si="8"/>
        <v>SFR-036-011</v>
      </c>
      <c r="F296" s="4" t="s">
        <v>1054</v>
      </c>
      <c r="G296" s="2" t="s">
        <v>768</v>
      </c>
      <c r="H296" s="2" t="s">
        <v>81</v>
      </c>
      <c r="I296" s="30"/>
      <c r="J296" s="30"/>
      <c r="K296" s="30" t="s">
        <v>481</v>
      </c>
      <c r="L296" s="2"/>
      <c r="M296" s="2"/>
      <c r="N296" s="2"/>
      <c r="O296" s="30" t="s">
        <v>160</v>
      </c>
      <c r="P296" s="30"/>
      <c r="Q296" s="2"/>
      <c r="R296" s="2"/>
      <c r="S296" s="4"/>
      <c r="T296" s="4"/>
    </row>
    <row r="297" spans="1:20" ht="40.5">
      <c r="A297" s="1">
        <v>296</v>
      </c>
      <c r="B297" s="1" t="s">
        <v>561</v>
      </c>
      <c r="C297" s="1" t="s">
        <v>446</v>
      </c>
      <c r="D297" s="1">
        <f t="shared" si="9"/>
        <v>12</v>
      </c>
      <c r="E297" s="1" t="str">
        <f t="shared" si="8"/>
        <v>SFR-036-012</v>
      </c>
      <c r="F297" s="4" t="s">
        <v>1054</v>
      </c>
      <c r="G297" s="2" t="s">
        <v>27</v>
      </c>
      <c r="H297" s="2" t="s">
        <v>338</v>
      </c>
      <c r="I297" s="30"/>
      <c r="J297" s="30"/>
      <c r="K297" s="30" t="s">
        <v>481</v>
      </c>
      <c r="L297" s="2"/>
      <c r="M297" s="2"/>
      <c r="N297" s="2"/>
      <c r="O297" s="30" t="s">
        <v>160</v>
      </c>
      <c r="P297" s="30"/>
      <c r="Q297" s="2"/>
      <c r="R297" s="2" t="s">
        <v>408</v>
      </c>
      <c r="S297" s="4"/>
      <c r="T297" s="4"/>
    </row>
    <row r="298" spans="1:20" ht="27">
      <c r="A298" s="1">
        <v>297</v>
      </c>
      <c r="B298" s="1" t="s">
        <v>561</v>
      </c>
      <c r="C298" s="1" t="s">
        <v>446</v>
      </c>
      <c r="D298" s="1">
        <f t="shared" si="9"/>
        <v>13</v>
      </c>
      <c r="E298" s="1" t="str">
        <f t="shared" si="8"/>
        <v>SFR-036-013</v>
      </c>
      <c r="F298" s="4" t="s">
        <v>1054</v>
      </c>
      <c r="G298" s="2" t="s">
        <v>600</v>
      </c>
      <c r="H298" s="2"/>
      <c r="I298" s="30"/>
      <c r="J298" s="30"/>
      <c r="K298" s="30" t="s">
        <v>481</v>
      </c>
      <c r="L298" s="2"/>
      <c r="M298" s="2"/>
      <c r="N298" s="2"/>
      <c r="O298" s="30" t="s">
        <v>160</v>
      </c>
      <c r="P298" s="30"/>
      <c r="Q298" s="2"/>
      <c r="R298" s="2"/>
      <c r="S298" s="4"/>
      <c r="T298" s="4"/>
    </row>
    <row r="299" spans="1:20" ht="27">
      <c r="A299" s="1">
        <v>298</v>
      </c>
      <c r="B299" s="1" t="s">
        <v>561</v>
      </c>
      <c r="C299" s="1" t="s">
        <v>446</v>
      </c>
      <c r="D299" s="1">
        <f t="shared" si="9"/>
        <v>14</v>
      </c>
      <c r="E299" s="1" t="str">
        <f t="shared" si="8"/>
        <v>SFR-036-014</v>
      </c>
      <c r="F299" s="4" t="s">
        <v>1054</v>
      </c>
      <c r="G299" s="2" t="s">
        <v>386</v>
      </c>
      <c r="H299" s="2" t="s">
        <v>371</v>
      </c>
      <c r="I299" s="30"/>
      <c r="J299" s="30"/>
      <c r="K299" s="30" t="s">
        <v>481</v>
      </c>
      <c r="L299" s="2"/>
      <c r="M299" s="2"/>
      <c r="N299" s="2"/>
      <c r="O299" s="30" t="s">
        <v>160</v>
      </c>
      <c r="P299" s="30"/>
      <c r="Q299" s="2"/>
      <c r="R299" s="2"/>
      <c r="S299" s="4"/>
      <c r="T299" s="4"/>
    </row>
    <row r="300" spans="1:20" ht="27">
      <c r="A300" s="1">
        <v>299</v>
      </c>
      <c r="B300" s="1" t="s">
        <v>561</v>
      </c>
      <c r="C300" s="1" t="s">
        <v>446</v>
      </c>
      <c r="D300" s="1">
        <f t="shared" si="9"/>
        <v>15</v>
      </c>
      <c r="E300" s="1" t="str">
        <f t="shared" si="8"/>
        <v>SFR-036-015</v>
      </c>
      <c r="F300" s="4" t="s">
        <v>1054</v>
      </c>
      <c r="G300" s="2" t="s">
        <v>386</v>
      </c>
      <c r="H300" s="2" t="s">
        <v>164</v>
      </c>
      <c r="I300" s="30"/>
      <c r="J300" s="30"/>
      <c r="K300" s="30" t="s">
        <v>481</v>
      </c>
      <c r="L300" s="2"/>
      <c r="M300" s="2"/>
      <c r="N300" s="2"/>
      <c r="O300" s="30" t="s">
        <v>160</v>
      </c>
      <c r="P300" s="30"/>
      <c r="Q300" s="2"/>
      <c r="R300" s="2"/>
      <c r="S300" s="4"/>
      <c r="T300" s="4"/>
    </row>
    <row r="301" spans="1:20" ht="40.5">
      <c r="A301" s="1">
        <v>300</v>
      </c>
      <c r="B301" s="1" t="s">
        <v>561</v>
      </c>
      <c r="C301" s="1" t="s">
        <v>545</v>
      </c>
      <c r="D301" s="1">
        <f t="shared" si="9"/>
        <v>1</v>
      </c>
      <c r="E301" s="1" t="str">
        <f t="shared" si="8"/>
        <v>SFR-037-001</v>
      </c>
      <c r="F301" s="38" t="s">
        <v>114</v>
      </c>
      <c r="G301" s="2" t="s">
        <v>616</v>
      </c>
      <c r="H301" s="2" t="s">
        <v>1185</v>
      </c>
      <c r="I301" s="30"/>
      <c r="J301" s="30"/>
      <c r="K301" s="30" t="s">
        <v>481</v>
      </c>
      <c r="L301" s="2"/>
      <c r="M301" s="2"/>
      <c r="N301" s="2"/>
      <c r="O301" s="30" t="s">
        <v>160</v>
      </c>
      <c r="P301" s="30"/>
      <c r="Q301" s="2"/>
      <c r="R301" s="2"/>
      <c r="S301" s="4" t="s">
        <v>75</v>
      </c>
      <c r="T301" s="4"/>
    </row>
    <row r="302" spans="1:20" ht="27">
      <c r="A302" s="1">
        <v>301</v>
      </c>
      <c r="B302" s="1" t="s">
        <v>561</v>
      </c>
      <c r="C302" s="1" t="s">
        <v>545</v>
      </c>
      <c r="D302" s="1">
        <f t="shared" si="9"/>
        <v>2</v>
      </c>
      <c r="E302" s="1" t="str">
        <f t="shared" si="8"/>
        <v>SFR-037-002</v>
      </c>
      <c r="F302" s="4" t="s">
        <v>114</v>
      </c>
      <c r="G302" s="2" t="s">
        <v>303</v>
      </c>
      <c r="H302" s="2" t="s">
        <v>11</v>
      </c>
      <c r="I302" s="30"/>
      <c r="J302" s="30"/>
      <c r="K302" s="30" t="s">
        <v>481</v>
      </c>
      <c r="L302" s="2"/>
      <c r="M302" s="2"/>
      <c r="N302" s="2"/>
      <c r="O302" s="30" t="s">
        <v>160</v>
      </c>
      <c r="P302" s="30"/>
      <c r="Q302" s="2"/>
      <c r="R302" s="2"/>
      <c r="S302" s="4"/>
      <c r="T302" s="4"/>
    </row>
    <row r="303" spans="1:20" ht="27">
      <c r="A303" s="1">
        <v>302</v>
      </c>
      <c r="B303" s="1" t="s">
        <v>561</v>
      </c>
      <c r="C303" s="1" t="s">
        <v>545</v>
      </c>
      <c r="D303" s="1">
        <f t="shared" si="9"/>
        <v>3</v>
      </c>
      <c r="E303" s="1" t="str">
        <f t="shared" si="8"/>
        <v>SFR-037-003</v>
      </c>
      <c r="F303" s="4" t="s">
        <v>114</v>
      </c>
      <c r="G303" s="2" t="s">
        <v>303</v>
      </c>
      <c r="H303" s="2" t="s">
        <v>221</v>
      </c>
      <c r="I303" s="30"/>
      <c r="J303" s="30"/>
      <c r="K303" s="30" t="s">
        <v>481</v>
      </c>
      <c r="L303" s="2"/>
      <c r="M303" s="2"/>
      <c r="N303" s="2"/>
      <c r="O303" s="30" t="s">
        <v>160</v>
      </c>
      <c r="P303" s="30"/>
      <c r="Q303" s="2"/>
      <c r="R303" s="2"/>
      <c r="S303" s="4"/>
      <c r="T303" s="4"/>
    </row>
    <row r="304" spans="1:20" ht="27">
      <c r="A304" s="1">
        <v>303</v>
      </c>
      <c r="B304" s="1" t="s">
        <v>561</v>
      </c>
      <c r="C304" s="1" t="s">
        <v>545</v>
      </c>
      <c r="D304" s="1">
        <f t="shared" si="9"/>
        <v>4</v>
      </c>
      <c r="E304" s="1" t="str">
        <f t="shared" si="8"/>
        <v>SFR-037-004</v>
      </c>
      <c r="F304" s="4" t="s">
        <v>114</v>
      </c>
      <c r="G304" s="2" t="s">
        <v>303</v>
      </c>
      <c r="H304" s="2" t="s">
        <v>3</v>
      </c>
      <c r="I304" s="30">
        <v>10</v>
      </c>
      <c r="J304" s="30">
        <v>1.64</v>
      </c>
      <c r="K304" s="30"/>
      <c r="L304" s="2"/>
      <c r="M304" s="2"/>
      <c r="N304" s="2"/>
      <c r="O304" s="30" t="s">
        <v>160</v>
      </c>
      <c r="P304" s="30"/>
      <c r="Q304" s="2"/>
      <c r="R304" s="2"/>
      <c r="S304" s="4"/>
      <c r="T304" s="4"/>
    </row>
    <row r="305" spans="1:20" ht="40.5">
      <c r="A305" s="1">
        <v>304</v>
      </c>
      <c r="B305" s="1" t="s">
        <v>561</v>
      </c>
      <c r="C305" s="1" t="s">
        <v>545</v>
      </c>
      <c r="D305" s="1">
        <f t="shared" si="9"/>
        <v>5</v>
      </c>
      <c r="E305" s="1" t="str">
        <f t="shared" si="8"/>
        <v>SFR-037-005</v>
      </c>
      <c r="F305" s="4" t="s">
        <v>114</v>
      </c>
      <c r="G305" s="2" t="s">
        <v>303</v>
      </c>
      <c r="H305" s="2" t="s">
        <v>99</v>
      </c>
      <c r="I305" s="30"/>
      <c r="J305" s="30"/>
      <c r="K305" s="30" t="s">
        <v>481</v>
      </c>
      <c r="L305" s="2"/>
      <c r="M305" s="2"/>
      <c r="N305" s="2"/>
      <c r="O305" s="30" t="s">
        <v>160</v>
      </c>
      <c r="P305" s="30"/>
      <c r="Q305" s="2"/>
      <c r="R305" s="2"/>
      <c r="S305" s="4"/>
      <c r="T305" s="4"/>
    </row>
    <row r="306" spans="1:20" ht="27">
      <c r="A306" s="1">
        <v>305</v>
      </c>
      <c r="B306" s="1" t="s">
        <v>561</v>
      </c>
      <c r="C306" s="1" t="s">
        <v>545</v>
      </c>
      <c r="D306" s="1">
        <f t="shared" si="9"/>
        <v>6</v>
      </c>
      <c r="E306" s="1" t="str">
        <f t="shared" si="8"/>
        <v>SFR-037-006</v>
      </c>
      <c r="F306" s="4" t="s">
        <v>114</v>
      </c>
      <c r="G306" s="2" t="s">
        <v>303</v>
      </c>
      <c r="H306" s="2" t="s">
        <v>344</v>
      </c>
      <c r="I306" s="30"/>
      <c r="J306" s="30"/>
      <c r="K306" s="30" t="s">
        <v>481</v>
      </c>
      <c r="L306" s="2"/>
      <c r="M306" s="2"/>
      <c r="N306" s="2"/>
      <c r="O306" s="30" t="s">
        <v>160</v>
      </c>
      <c r="P306" s="30"/>
      <c r="Q306" s="2"/>
      <c r="R306" s="2"/>
      <c r="S306" s="4"/>
      <c r="T306" s="4"/>
    </row>
    <row r="307" spans="1:20" ht="40.5">
      <c r="A307" s="1">
        <v>306</v>
      </c>
      <c r="B307" s="1" t="s">
        <v>561</v>
      </c>
      <c r="C307" s="1" t="s">
        <v>544</v>
      </c>
      <c r="D307" s="1">
        <f t="shared" si="9"/>
        <v>1</v>
      </c>
      <c r="E307" s="1" t="str">
        <f t="shared" si="8"/>
        <v>SFR-038-001</v>
      </c>
      <c r="F307" s="38" t="s">
        <v>678</v>
      </c>
      <c r="G307" s="2" t="s">
        <v>47</v>
      </c>
      <c r="H307" s="2" t="s">
        <v>197</v>
      </c>
      <c r="I307" s="30"/>
      <c r="J307" s="30"/>
      <c r="K307" s="30" t="s">
        <v>481</v>
      </c>
      <c r="L307" s="2"/>
      <c r="M307" s="2"/>
      <c r="N307" s="2"/>
      <c r="O307" s="30" t="s">
        <v>160</v>
      </c>
      <c r="P307" s="30"/>
      <c r="Q307" s="2"/>
      <c r="R307" s="2"/>
      <c r="S307" s="4" t="s">
        <v>1079</v>
      </c>
      <c r="T307" s="4"/>
    </row>
    <row r="308" spans="1:20" ht="27">
      <c r="A308" s="1">
        <v>307</v>
      </c>
      <c r="B308" s="1" t="s">
        <v>561</v>
      </c>
      <c r="C308" s="1" t="s">
        <v>544</v>
      </c>
      <c r="D308" s="1">
        <f t="shared" si="9"/>
        <v>2</v>
      </c>
      <c r="E308" s="1" t="str">
        <f t="shared" si="8"/>
        <v>SFR-038-002</v>
      </c>
      <c r="F308" s="4" t="s">
        <v>678</v>
      </c>
      <c r="G308" s="2" t="s">
        <v>47</v>
      </c>
      <c r="H308" s="2" t="s">
        <v>394</v>
      </c>
      <c r="I308" s="30"/>
      <c r="J308" s="30"/>
      <c r="K308" s="30" t="s">
        <v>481</v>
      </c>
      <c r="L308" s="2"/>
      <c r="M308" s="2"/>
      <c r="N308" s="2"/>
      <c r="O308" s="30" t="s">
        <v>160</v>
      </c>
      <c r="P308" s="30"/>
      <c r="Q308" s="2"/>
      <c r="R308" s="2"/>
      <c r="S308" s="4"/>
      <c r="T308" s="4"/>
    </row>
    <row r="309" spans="1:20">
      <c r="A309" s="1">
        <v>308</v>
      </c>
      <c r="B309" s="1" t="s">
        <v>561</v>
      </c>
      <c r="C309" s="1" t="s">
        <v>550</v>
      </c>
      <c r="D309" s="1">
        <f t="shared" si="9"/>
        <v>1</v>
      </c>
      <c r="E309" s="1" t="str">
        <f t="shared" si="8"/>
        <v>SFR-039-001</v>
      </c>
      <c r="F309" s="4" t="s">
        <v>1062</v>
      </c>
      <c r="G309" s="2" t="s">
        <v>729</v>
      </c>
      <c r="H309" s="2"/>
      <c r="I309" s="30"/>
      <c r="J309" s="30"/>
      <c r="K309" s="30" t="s">
        <v>481</v>
      </c>
      <c r="L309" s="2"/>
      <c r="M309" s="2"/>
      <c r="N309" s="2"/>
      <c r="O309" s="30" t="s">
        <v>160</v>
      </c>
      <c r="P309" s="30"/>
      <c r="Q309" s="2"/>
      <c r="R309" s="2"/>
      <c r="S309" s="4" t="s">
        <v>1079</v>
      </c>
      <c r="T309" s="4"/>
    </row>
    <row r="310" spans="1:20" ht="27">
      <c r="A310" s="1">
        <v>309</v>
      </c>
      <c r="B310" s="1" t="s">
        <v>561</v>
      </c>
      <c r="C310" s="1" t="s">
        <v>550</v>
      </c>
      <c r="D310" s="1">
        <f t="shared" si="9"/>
        <v>2</v>
      </c>
      <c r="E310" s="1" t="str">
        <f t="shared" si="8"/>
        <v>SFR-039-002</v>
      </c>
      <c r="F310" s="4" t="s">
        <v>1062</v>
      </c>
      <c r="G310" s="2" t="s">
        <v>168</v>
      </c>
      <c r="H310" s="2"/>
      <c r="I310" s="30"/>
      <c r="J310" s="30"/>
      <c r="K310" s="30" t="s">
        <v>481</v>
      </c>
      <c r="L310" s="2"/>
      <c r="M310" s="2"/>
      <c r="N310" s="2"/>
      <c r="O310" s="30" t="s">
        <v>160</v>
      </c>
      <c r="P310" s="30"/>
      <c r="Q310" s="2"/>
      <c r="R310" s="2"/>
      <c r="S310" s="4"/>
      <c r="T310" s="4"/>
    </row>
    <row r="311" spans="1:20">
      <c r="A311" s="1">
        <v>310</v>
      </c>
      <c r="B311" s="1" t="s">
        <v>561</v>
      </c>
      <c r="C311" s="1" t="s">
        <v>550</v>
      </c>
      <c r="D311" s="1">
        <f t="shared" si="9"/>
        <v>3</v>
      </c>
      <c r="E311" s="1" t="str">
        <f t="shared" si="8"/>
        <v>SFR-039-003</v>
      </c>
      <c r="F311" s="4" t="s">
        <v>1062</v>
      </c>
      <c r="G311" s="2" t="s">
        <v>42</v>
      </c>
      <c r="H311" s="2"/>
      <c r="I311" s="30"/>
      <c r="J311" s="30"/>
      <c r="K311" s="30" t="s">
        <v>481</v>
      </c>
      <c r="L311" s="2"/>
      <c r="M311" s="2"/>
      <c r="N311" s="2"/>
      <c r="O311" s="30" t="s">
        <v>160</v>
      </c>
      <c r="P311" s="30"/>
      <c r="Q311" s="2"/>
      <c r="R311" s="2"/>
      <c r="S311" s="4"/>
      <c r="T311" s="4"/>
    </row>
    <row r="312" spans="1:20" ht="27">
      <c r="A312" s="1">
        <v>311</v>
      </c>
      <c r="B312" s="1" t="s">
        <v>561</v>
      </c>
      <c r="C312" s="1" t="s">
        <v>550</v>
      </c>
      <c r="D312" s="1">
        <f t="shared" si="9"/>
        <v>4</v>
      </c>
      <c r="E312" s="1" t="str">
        <f t="shared" si="8"/>
        <v>SFR-039-004</v>
      </c>
      <c r="F312" s="4" t="s">
        <v>1062</v>
      </c>
      <c r="G312" s="2" t="s">
        <v>0</v>
      </c>
      <c r="H312" s="2" t="s">
        <v>394</v>
      </c>
      <c r="I312" s="30"/>
      <c r="J312" s="30"/>
      <c r="K312" s="30" t="s">
        <v>481</v>
      </c>
      <c r="L312" s="2"/>
      <c r="M312" s="2"/>
      <c r="N312" s="2"/>
      <c r="O312" s="30" t="s">
        <v>160</v>
      </c>
      <c r="P312" s="30"/>
      <c r="Q312" s="2"/>
      <c r="R312" s="2"/>
      <c r="S312" s="4"/>
      <c r="T312" s="4"/>
    </row>
    <row r="313" spans="1:20">
      <c r="A313" s="1">
        <v>312</v>
      </c>
      <c r="B313" s="1" t="s">
        <v>561</v>
      </c>
      <c r="C313" s="1" t="s">
        <v>550</v>
      </c>
      <c r="D313" s="1">
        <f t="shared" si="9"/>
        <v>5</v>
      </c>
      <c r="E313" s="1" t="str">
        <f t="shared" si="8"/>
        <v>SFR-039-005</v>
      </c>
      <c r="F313" s="4" t="s">
        <v>1062</v>
      </c>
      <c r="G313" s="2" t="s">
        <v>762</v>
      </c>
      <c r="H313" s="2"/>
      <c r="I313" s="30"/>
      <c r="J313" s="30"/>
      <c r="K313" s="30" t="s">
        <v>481</v>
      </c>
      <c r="L313" s="2"/>
      <c r="M313" s="2"/>
      <c r="N313" s="2"/>
      <c r="O313" s="30" t="s">
        <v>160</v>
      </c>
      <c r="P313" s="30"/>
      <c r="Q313" s="2"/>
      <c r="R313" s="2"/>
      <c r="S313" s="4"/>
      <c r="T313" s="4"/>
    </row>
    <row r="314" spans="1:20" ht="54">
      <c r="A314" s="1">
        <v>313</v>
      </c>
      <c r="B314" s="1" t="s">
        <v>561</v>
      </c>
      <c r="C314" s="1" t="s">
        <v>444</v>
      </c>
      <c r="D314" s="1">
        <f t="shared" si="9"/>
        <v>1</v>
      </c>
      <c r="E314" s="1" t="str">
        <f t="shared" si="8"/>
        <v>SFR-040-001</v>
      </c>
      <c r="F314" s="4" t="s">
        <v>1068</v>
      </c>
      <c r="G314" s="2" t="s">
        <v>399</v>
      </c>
      <c r="H314" s="2"/>
      <c r="I314" s="30"/>
      <c r="J314" s="30"/>
      <c r="K314" s="30" t="s">
        <v>481</v>
      </c>
      <c r="L314" s="2"/>
      <c r="M314" s="2"/>
      <c r="N314" s="2"/>
      <c r="O314" s="30" t="s">
        <v>160</v>
      </c>
      <c r="P314" s="30"/>
      <c r="Q314" s="2"/>
      <c r="R314" s="2"/>
      <c r="S314" s="4" t="s">
        <v>395</v>
      </c>
      <c r="T314" s="4"/>
    </row>
    <row r="315" spans="1:20" ht="121.5">
      <c r="A315" s="1">
        <v>314</v>
      </c>
      <c r="B315" s="1" t="s">
        <v>561</v>
      </c>
      <c r="C315" s="1" t="s">
        <v>444</v>
      </c>
      <c r="D315" s="1">
        <f t="shared" si="9"/>
        <v>2</v>
      </c>
      <c r="E315" s="1" t="str">
        <f t="shared" si="8"/>
        <v>SFR-040-002</v>
      </c>
      <c r="F315" s="4" t="s">
        <v>1068</v>
      </c>
      <c r="G315" s="2" t="s">
        <v>739</v>
      </c>
      <c r="H315" s="2" t="s">
        <v>10</v>
      </c>
      <c r="I315" s="30"/>
      <c r="J315" s="30"/>
      <c r="K315" s="30" t="s">
        <v>481</v>
      </c>
      <c r="L315" s="2"/>
      <c r="M315" s="2"/>
      <c r="N315" s="2"/>
      <c r="O315" s="30" t="s">
        <v>160</v>
      </c>
      <c r="P315" s="30"/>
      <c r="Q315" s="2"/>
      <c r="R315" s="2"/>
      <c r="S315" s="4"/>
      <c r="T315" s="4"/>
    </row>
    <row r="316" spans="1:20" ht="40.5">
      <c r="A316" s="1">
        <v>315</v>
      </c>
      <c r="B316" s="1" t="s">
        <v>561</v>
      </c>
      <c r="C316" s="1" t="s">
        <v>444</v>
      </c>
      <c r="D316" s="1">
        <f t="shared" si="9"/>
        <v>3</v>
      </c>
      <c r="E316" s="1" t="str">
        <f t="shared" si="8"/>
        <v>SFR-040-003</v>
      </c>
      <c r="F316" s="4" t="s">
        <v>1068</v>
      </c>
      <c r="G316" s="2" t="s">
        <v>739</v>
      </c>
      <c r="H316" s="2" t="s">
        <v>255</v>
      </c>
      <c r="I316" s="30"/>
      <c r="J316" s="30"/>
      <c r="K316" s="30" t="s">
        <v>481</v>
      </c>
      <c r="L316" s="2"/>
      <c r="M316" s="2"/>
      <c r="N316" s="2"/>
      <c r="O316" s="30" t="s">
        <v>160</v>
      </c>
      <c r="P316" s="30"/>
      <c r="Q316" s="2"/>
      <c r="R316" s="2"/>
      <c r="S316" s="4"/>
      <c r="T316" s="4"/>
    </row>
    <row r="317" spans="1:20" ht="27">
      <c r="A317" s="1">
        <v>316</v>
      </c>
      <c r="B317" s="1" t="s">
        <v>561</v>
      </c>
      <c r="C317" s="1" t="s">
        <v>444</v>
      </c>
      <c r="D317" s="1">
        <f t="shared" si="9"/>
        <v>4</v>
      </c>
      <c r="E317" s="1" t="str">
        <f t="shared" si="8"/>
        <v>SFR-040-004</v>
      </c>
      <c r="F317" s="4" t="s">
        <v>1068</v>
      </c>
      <c r="G317" s="2" t="s">
        <v>739</v>
      </c>
      <c r="H317" s="2" t="s">
        <v>271</v>
      </c>
      <c r="I317" s="30"/>
      <c r="J317" s="30"/>
      <c r="K317" s="30" t="s">
        <v>481</v>
      </c>
      <c r="L317" s="2"/>
      <c r="M317" s="2"/>
      <c r="N317" s="2"/>
      <c r="O317" s="30" t="s">
        <v>160</v>
      </c>
      <c r="P317" s="30"/>
      <c r="Q317" s="2"/>
      <c r="R317" s="2"/>
      <c r="S317" s="4"/>
      <c r="T317" s="4"/>
    </row>
    <row r="318" spans="1:20" ht="27">
      <c r="A318" s="1">
        <v>317</v>
      </c>
      <c r="B318" s="1" t="s">
        <v>561</v>
      </c>
      <c r="C318" s="1" t="s">
        <v>444</v>
      </c>
      <c r="D318" s="1">
        <f t="shared" si="9"/>
        <v>5</v>
      </c>
      <c r="E318" s="1" t="str">
        <f t="shared" si="8"/>
        <v>SFR-040-005</v>
      </c>
      <c r="F318" s="4" t="s">
        <v>1068</v>
      </c>
      <c r="G318" s="2" t="s">
        <v>168</v>
      </c>
      <c r="H318" s="2"/>
      <c r="I318" s="30"/>
      <c r="J318" s="30"/>
      <c r="K318" s="30" t="s">
        <v>481</v>
      </c>
      <c r="L318" s="2"/>
      <c r="M318" s="2"/>
      <c r="N318" s="2"/>
      <c r="O318" s="30" t="s">
        <v>160</v>
      </c>
      <c r="P318" s="30"/>
      <c r="Q318" s="2"/>
      <c r="R318" s="2"/>
      <c r="S318" s="4"/>
      <c r="T318" s="4"/>
    </row>
    <row r="319" spans="1:20">
      <c r="A319" s="1">
        <v>318</v>
      </c>
      <c r="B319" s="1" t="s">
        <v>561</v>
      </c>
      <c r="C319" s="1" t="s">
        <v>444</v>
      </c>
      <c r="D319" s="1">
        <f t="shared" si="9"/>
        <v>6</v>
      </c>
      <c r="E319" s="1" t="str">
        <f t="shared" si="8"/>
        <v>SFR-040-006</v>
      </c>
      <c r="F319" s="4" t="s">
        <v>1068</v>
      </c>
      <c r="G319" s="2" t="s">
        <v>79</v>
      </c>
      <c r="H319" s="2"/>
      <c r="I319" s="30"/>
      <c r="J319" s="30"/>
      <c r="K319" s="30" t="s">
        <v>481</v>
      </c>
      <c r="L319" s="2"/>
      <c r="M319" s="2"/>
      <c r="N319" s="2"/>
      <c r="O319" s="30" t="s">
        <v>160</v>
      </c>
      <c r="P319" s="30"/>
      <c r="Q319" s="2"/>
      <c r="R319" s="2"/>
      <c r="S319" s="4"/>
      <c r="T319" s="4"/>
    </row>
    <row r="320" spans="1:20" ht="27">
      <c r="A320" s="1">
        <v>319</v>
      </c>
      <c r="B320" s="1" t="s">
        <v>561</v>
      </c>
      <c r="C320" s="1" t="s">
        <v>444</v>
      </c>
      <c r="D320" s="1">
        <f t="shared" si="9"/>
        <v>7</v>
      </c>
      <c r="E320" s="1" t="str">
        <f t="shared" si="8"/>
        <v>SFR-040-007</v>
      </c>
      <c r="F320" s="4" t="s">
        <v>1068</v>
      </c>
      <c r="G320" s="2" t="s">
        <v>382</v>
      </c>
      <c r="H320" s="2" t="s">
        <v>394</v>
      </c>
      <c r="I320" s="30"/>
      <c r="J320" s="30"/>
      <c r="K320" s="30" t="s">
        <v>481</v>
      </c>
      <c r="L320" s="2"/>
      <c r="M320" s="2"/>
      <c r="N320" s="2"/>
      <c r="O320" s="30" t="s">
        <v>160</v>
      </c>
      <c r="P320" s="30"/>
      <c r="Q320" s="2"/>
      <c r="R320" s="2"/>
      <c r="S320" s="4"/>
      <c r="T320" s="4"/>
    </row>
    <row r="321" spans="1:20" ht="40.5">
      <c r="A321" s="1">
        <v>320</v>
      </c>
      <c r="B321" s="1" t="s">
        <v>561</v>
      </c>
      <c r="C321" s="1" t="s">
        <v>524</v>
      </c>
      <c r="D321" s="1">
        <f t="shared" si="9"/>
        <v>1</v>
      </c>
      <c r="E321" s="1" t="str">
        <f t="shared" si="8"/>
        <v>SFR-041-001</v>
      </c>
      <c r="F321" s="4" t="s">
        <v>558</v>
      </c>
      <c r="G321" s="2" t="s">
        <v>641</v>
      </c>
      <c r="H321" s="2" t="s">
        <v>661</v>
      </c>
      <c r="I321" s="30">
        <v>9</v>
      </c>
      <c r="J321" s="30">
        <v>1.1000000000000001</v>
      </c>
      <c r="K321" s="30" t="s">
        <v>479</v>
      </c>
      <c r="L321" s="2"/>
      <c r="M321" s="2"/>
      <c r="N321" s="2"/>
      <c r="O321" s="30" t="s">
        <v>160</v>
      </c>
      <c r="P321" s="30"/>
      <c r="Q321" s="2"/>
      <c r="R321" s="2"/>
      <c r="S321" s="4"/>
      <c r="T321" s="4"/>
    </row>
    <row r="322" spans="1:20" ht="40.5">
      <c r="A322" s="1">
        <v>321</v>
      </c>
      <c r="B322" s="1" t="s">
        <v>561</v>
      </c>
      <c r="C322" s="1" t="s">
        <v>524</v>
      </c>
      <c r="D322" s="1">
        <f t="shared" si="9"/>
        <v>2</v>
      </c>
      <c r="E322" s="1" t="str">
        <f t="shared" si="8"/>
        <v>SFR-041-002</v>
      </c>
      <c r="F322" s="4" t="s">
        <v>558</v>
      </c>
      <c r="G322" s="2" t="s">
        <v>641</v>
      </c>
      <c r="H322" s="2" t="s">
        <v>264</v>
      </c>
      <c r="I322" s="30">
        <v>9</v>
      </c>
      <c r="J322" s="30">
        <v>1.2</v>
      </c>
      <c r="K322" s="30" t="s">
        <v>479</v>
      </c>
      <c r="L322" s="2"/>
      <c r="M322" s="2"/>
      <c r="N322" s="2"/>
      <c r="O322" s="30" t="s">
        <v>160</v>
      </c>
      <c r="P322" s="30"/>
      <c r="Q322" s="2"/>
      <c r="R322" s="2"/>
      <c r="S322" s="4"/>
      <c r="T322" s="4"/>
    </row>
    <row r="323" spans="1:20" ht="27">
      <c r="A323" s="1">
        <v>322</v>
      </c>
      <c r="B323" s="1" t="s">
        <v>561</v>
      </c>
      <c r="C323" s="1" t="s">
        <v>524</v>
      </c>
      <c r="D323" s="1">
        <f t="shared" si="9"/>
        <v>3</v>
      </c>
      <c r="E323" s="1" t="str">
        <f t="shared" ref="E323:E377" si="10">C323&amp;"-"&amp;TEXT(D323,"000")</f>
        <v>SFR-041-003</v>
      </c>
      <c r="F323" s="4" t="s">
        <v>558</v>
      </c>
      <c r="G323" s="2" t="s">
        <v>721</v>
      </c>
      <c r="H323" s="2" t="s">
        <v>201</v>
      </c>
      <c r="I323" s="30">
        <v>9</v>
      </c>
      <c r="J323" s="30">
        <v>1.3</v>
      </c>
      <c r="K323" s="30" t="s">
        <v>479</v>
      </c>
      <c r="L323" s="2"/>
      <c r="M323" s="2"/>
      <c r="N323" s="2"/>
      <c r="O323" s="30" t="s">
        <v>160</v>
      </c>
      <c r="P323" s="30"/>
      <c r="Q323" s="2"/>
      <c r="R323" s="2" t="s">
        <v>930</v>
      </c>
      <c r="S323" s="4"/>
      <c r="T323" s="4"/>
    </row>
    <row r="324" spans="1:20" ht="27">
      <c r="A324" s="1">
        <v>323</v>
      </c>
      <c r="B324" s="1" t="s">
        <v>561</v>
      </c>
      <c r="C324" s="1" t="s">
        <v>524</v>
      </c>
      <c r="D324" s="1">
        <f t="shared" ref="D324:D377" si="11">IF(C323=C324,D323+1,1)</f>
        <v>4</v>
      </c>
      <c r="E324" s="1" t="str">
        <f t="shared" si="10"/>
        <v>SFR-041-004</v>
      </c>
      <c r="F324" s="4" t="s">
        <v>558</v>
      </c>
      <c r="G324" s="2" t="s">
        <v>721</v>
      </c>
      <c r="H324" s="2" t="s">
        <v>611</v>
      </c>
      <c r="I324" s="30">
        <v>9</v>
      </c>
      <c r="J324" s="30">
        <v>1.4</v>
      </c>
      <c r="K324" s="30" t="s">
        <v>479</v>
      </c>
      <c r="L324" s="2"/>
      <c r="M324" s="2"/>
      <c r="N324" s="2"/>
      <c r="O324" s="30" t="s">
        <v>160</v>
      </c>
      <c r="P324" s="30"/>
      <c r="Q324" s="2"/>
      <c r="R324" s="2"/>
      <c r="S324" s="4"/>
      <c r="T324" s="4"/>
    </row>
    <row r="325" spans="1:20" ht="27">
      <c r="A325" s="1">
        <v>324</v>
      </c>
      <c r="B325" s="1" t="s">
        <v>561</v>
      </c>
      <c r="C325" s="1" t="s">
        <v>524</v>
      </c>
      <c r="D325" s="1">
        <f t="shared" si="11"/>
        <v>5</v>
      </c>
      <c r="E325" s="1" t="str">
        <f t="shared" si="10"/>
        <v>SFR-041-005</v>
      </c>
      <c r="F325" s="4" t="s">
        <v>558</v>
      </c>
      <c r="G325" s="2" t="s">
        <v>721</v>
      </c>
      <c r="H325" s="2" t="s">
        <v>224</v>
      </c>
      <c r="I325" s="30">
        <v>9</v>
      </c>
      <c r="J325" s="30">
        <v>1.5</v>
      </c>
      <c r="K325" s="30" t="s">
        <v>479</v>
      </c>
      <c r="L325" s="2"/>
      <c r="M325" s="2"/>
      <c r="N325" s="2"/>
      <c r="O325" s="30" t="s">
        <v>160</v>
      </c>
      <c r="P325" s="30"/>
      <c r="Q325" s="2"/>
      <c r="R325" s="2"/>
      <c r="S325" s="4"/>
      <c r="T325" s="4"/>
    </row>
    <row r="326" spans="1:20" ht="27">
      <c r="A326" s="1">
        <v>325</v>
      </c>
      <c r="B326" s="1" t="s">
        <v>561</v>
      </c>
      <c r="C326" s="1" t="s">
        <v>524</v>
      </c>
      <c r="D326" s="1">
        <f t="shared" si="11"/>
        <v>6</v>
      </c>
      <c r="E326" s="1" t="str">
        <f t="shared" si="10"/>
        <v>SFR-041-006</v>
      </c>
      <c r="F326" s="4" t="s">
        <v>558</v>
      </c>
      <c r="G326" s="2" t="s">
        <v>583</v>
      </c>
      <c r="H326" s="2" t="s">
        <v>270</v>
      </c>
      <c r="I326" s="30">
        <v>9</v>
      </c>
      <c r="J326" s="30">
        <v>1.6</v>
      </c>
      <c r="K326" s="30" t="s">
        <v>479</v>
      </c>
      <c r="L326" s="2"/>
      <c r="M326" s="2"/>
      <c r="N326" s="2"/>
      <c r="O326" s="30" t="s">
        <v>160</v>
      </c>
      <c r="P326" s="30"/>
      <c r="Q326" s="2"/>
      <c r="R326" s="2"/>
      <c r="S326" s="4"/>
      <c r="T326" s="4"/>
    </row>
    <row r="327" spans="1:20" ht="27">
      <c r="A327" s="1">
        <v>326</v>
      </c>
      <c r="B327" s="1" t="s">
        <v>561</v>
      </c>
      <c r="C327" s="1" t="s">
        <v>524</v>
      </c>
      <c r="D327" s="1">
        <f t="shared" si="11"/>
        <v>7</v>
      </c>
      <c r="E327" s="1" t="str">
        <f t="shared" si="10"/>
        <v>SFR-041-007</v>
      </c>
      <c r="F327" s="4" t="s">
        <v>558</v>
      </c>
      <c r="G327" s="2" t="s">
        <v>5</v>
      </c>
      <c r="H327" s="2"/>
      <c r="I327" s="30">
        <v>9</v>
      </c>
      <c r="J327" s="30">
        <v>1.7</v>
      </c>
      <c r="K327" s="30" t="s">
        <v>479</v>
      </c>
      <c r="L327" s="2"/>
      <c r="M327" s="2"/>
      <c r="N327" s="2"/>
      <c r="O327" s="30" t="s">
        <v>160</v>
      </c>
      <c r="P327" s="30"/>
      <c r="Q327" s="2"/>
      <c r="R327" s="2"/>
      <c r="S327" s="4"/>
      <c r="T327" s="4"/>
    </row>
    <row r="328" spans="1:20" ht="40.5">
      <c r="A328" s="1">
        <v>327</v>
      </c>
      <c r="B328" s="1" t="s">
        <v>553</v>
      </c>
      <c r="C328" s="1" t="s">
        <v>450</v>
      </c>
      <c r="D328" s="1">
        <f t="shared" si="11"/>
        <v>1</v>
      </c>
      <c r="E328" s="1" t="str">
        <f t="shared" si="10"/>
        <v>SFR-042-001</v>
      </c>
      <c r="F328" s="4" t="s">
        <v>129</v>
      </c>
      <c r="G328" s="2" t="s">
        <v>256</v>
      </c>
      <c r="H328" s="2"/>
      <c r="I328" s="30">
        <v>9</v>
      </c>
      <c r="J328" s="30">
        <v>1.8</v>
      </c>
      <c r="K328" s="30" t="s">
        <v>479</v>
      </c>
      <c r="L328" s="2"/>
      <c r="M328" s="2"/>
      <c r="N328" s="2"/>
      <c r="O328" s="30" t="s">
        <v>160</v>
      </c>
      <c r="P328" s="30"/>
      <c r="Q328" s="2"/>
      <c r="R328" s="2"/>
      <c r="S328" s="4"/>
      <c r="T328" s="4"/>
    </row>
    <row r="329" spans="1:20" ht="27">
      <c r="A329" s="1">
        <v>328</v>
      </c>
      <c r="B329" s="1" t="s">
        <v>553</v>
      </c>
      <c r="C329" s="1" t="s">
        <v>450</v>
      </c>
      <c r="D329" s="1">
        <f t="shared" si="11"/>
        <v>2</v>
      </c>
      <c r="E329" s="1" t="str">
        <f t="shared" si="10"/>
        <v>SFR-042-002</v>
      </c>
      <c r="F329" s="4" t="s">
        <v>129</v>
      </c>
      <c r="G329" s="2" t="s">
        <v>28</v>
      </c>
      <c r="H329" s="2"/>
      <c r="I329" s="30"/>
      <c r="J329" s="30"/>
      <c r="K329" s="30" t="s">
        <v>481</v>
      </c>
      <c r="L329" s="2"/>
      <c r="M329" s="2"/>
      <c r="N329" s="2"/>
      <c r="O329" s="30" t="s">
        <v>160</v>
      </c>
      <c r="P329" s="30"/>
      <c r="Q329" s="2"/>
      <c r="R329" s="2"/>
      <c r="S329" s="4"/>
      <c r="T329" s="4"/>
    </row>
    <row r="330" spans="1:20" ht="27">
      <c r="A330" s="1">
        <v>329</v>
      </c>
      <c r="B330" s="1" t="s">
        <v>553</v>
      </c>
      <c r="C330" s="1" t="s">
        <v>450</v>
      </c>
      <c r="D330" s="1">
        <f t="shared" si="11"/>
        <v>3</v>
      </c>
      <c r="E330" s="1" t="str">
        <f t="shared" si="10"/>
        <v>SFR-042-003</v>
      </c>
      <c r="F330" s="4" t="s">
        <v>129</v>
      </c>
      <c r="G330" s="2" t="s">
        <v>572</v>
      </c>
      <c r="H330" s="2"/>
      <c r="I330" s="30">
        <v>9</v>
      </c>
      <c r="J330" s="30">
        <v>1.9</v>
      </c>
      <c r="K330" s="30" t="s">
        <v>479</v>
      </c>
      <c r="L330" s="2"/>
      <c r="M330" s="2"/>
      <c r="N330" s="2"/>
      <c r="O330" s="30" t="s">
        <v>160</v>
      </c>
      <c r="P330" s="30"/>
      <c r="Q330" s="2"/>
      <c r="R330" s="2"/>
      <c r="S330" s="4"/>
      <c r="T330" s="4"/>
    </row>
    <row r="331" spans="1:20">
      <c r="A331" s="1">
        <v>330</v>
      </c>
      <c r="B331" s="1" t="s">
        <v>553</v>
      </c>
      <c r="C331" s="1" t="s">
        <v>450</v>
      </c>
      <c r="D331" s="1">
        <f t="shared" si="11"/>
        <v>4</v>
      </c>
      <c r="E331" s="1" t="str">
        <f t="shared" si="10"/>
        <v>SFR-042-004</v>
      </c>
      <c r="F331" s="4" t="s">
        <v>129</v>
      </c>
      <c r="G331" s="2" t="s">
        <v>67</v>
      </c>
      <c r="H331" s="2"/>
      <c r="I331" s="30"/>
      <c r="J331" s="30"/>
      <c r="K331" s="30" t="s">
        <v>481</v>
      </c>
      <c r="L331" s="2"/>
      <c r="M331" s="2"/>
      <c r="N331" s="2"/>
      <c r="O331" s="30" t="s">
        <v>160</v>
      </c>
      <c r="P331" s="30"/>
      <c r="Q331" s="2"/>
      <c r="R331" s="2"/>
      <c r="S331" s="4"/>
      <c r="T331" s="4"/>
    </row>
    <row r="332" spans="1:20" ht="40.5">
      <c r="A332" s="1">
        <v>331</v>
      </c>
      <c r="B332" s="1" t="s">
        <v>553</v>
      </c>
      <c r="C332" s="1" t="s">
        <v>450</v>
      </c>
      <c r="D332" s="1">
        <f t="shared" si="11"/>
        <v>5</v>
      </c>
      <c r="E332" s="1" t="str">
        <f t="shared" si="10"/>
        <v>SFR-042-005</v>
      </c>
      <c r="F332" s="4" t="s">
        <v>129</v>
      </c>
      <c r="G332" s="2" t="s">
        <v>262</v>
      </c>
      <c r="H332" s="2"/>
      <c r="I332" s="30"/>
      <c r="J332" s="30"/>
      <c r="K332" s="30" t="s">
        <v>481</v>
      </c>
      <c r="L332" s="2"/>
      <c r="M332" s="2"/>
      <c r="N332" s="2"/>
      <c r="O332" s="30" t="s">
        <v>160</v>
      </c>
      <c r="P332" s="30"/>
      <c r="Q332" s="2"/>
      <c r="R332" s="2"/>
      <c r="S332" s="4"/>
      <c r="T332" s="4"/>
    </row>
    <row r="333" spans="1:20">
      <c r="A333" s="1">
        <v>332</v>
      </c>
      <c r="B333" s="1" t="s">
        <v>553</v>
      </c>
      <c r="C333" s="1" t="s">
        <v>450</v>
      </c>
      <c r="D333" s="1">
        <f t="shared" si="11"/>
        <v>6</v>
      </c>
      <c r="E333" s="1" t="str">
        <f t="shared" si="10"/>
        <v>SFR-042-006</v>
      </c>
      <c r="F333" s="4" t="s">
        <v>129</v>
      </c>
      <c r="G333" s="2" t="s">
        <v>54</v>
      </c>
      <c r="H333" s="2"/>
      <c r="I333" s="30">
        <v>9</v>
      </c>
      <c r="J333" s="30">
        <v>1.1000000000000001</v>
      </c>
      <c r="K333" s="30"/>
      <c r="L333" s="2"/>
      <c r="M333" s="2"/>
      <c r="N333" s="2"/>
      <c r="O333" s="30" t="s">
        <v>160</v>
      </c>
      <c r="P333" s="30"/>
      <c r="Q333" s="2"/>
      <c r="R333" s="2"/>
      <c r="S333" s="4"/>
      <c r="T333" s="4"/>
    </row>
    <row r="334" spans="1:20" ht="27">
      <c r="A334" s="1">
        <v>333</v>
      </c>
      <c r="B334" s="1" t="s">
        <v>553</v>
      </c>
      <c r="C334" s="1" t="s">
        <v>450</v>
      </c>
      <c r="D334" s="1">
        <f t="shared" si="11"/>
        <v>7</v>
      </c>
      <c r="E334" s="1" t="str">
        <f t="shared" si="10"/>
        <v>SFR-042-007</v>
      </c>
      <c r="F334" s="4" t="s">
        <v>129</v>
      </c>
      <c r="G334" s="2" t="s">
        <v>260</v>
      </c>
      <c r="H334" s="2"/>
      <c r="I334" s="30"/>
      <c r="J334" s="30"/>
      <c r="K334" s="30" t="s">
        <v>481</v>
      </c>
      <c r="L334" s="2"/>
      <c r="M334" s="2"/>
      <c r="N334" s="2"/>
      <c r="O334" s="30" t="s">
        <v>160</v>
      </c>
      <c r="P334" s="30"/>
      <c r="Q334" s="2"/>
      <c r="R334" s="2"/>
      <c r="S334" s="4"/>
      <c r="T334" s="4"/>
    </row>
    <row r="335" spans="1:20" ht="27">
      <c r="A335" s="1">
        <v>334</v>
      </c>
      <c r="B335" s="1" t="s">
        <v>553</v>
      </c>
      <c r="C335" s="1" t="s">
        <v>450</v>
      </c>
      <c r="D335" s="1">
        <f t="shared" si="11"/>
        <v>8</v>
      </c>
      <c r="E335" s="1" t="str">
        <f t="shared" si="10"/>
        <v>SFR-042-008</v>
      </c>
      <c r="F335" s="4" t="s">
        <v>129</v>
      </c>
      <c r="G335" s="2" t="s">
        <v>601</v>
      </c>
      <c r="H335" s="2"/>
      <c r="I335" s="30"/>
      <c r="J335" s="30"/>
      <c r="K335" s="30" t="s">
        <v>481</v>
      </c>
      <c r="L335" s="2"/>
      <c r="M335" s="2"/>
      <c r="N335" s="2"/>
      <c r="O335" s="30" t="s">
        <v>160</v>
      </c>
      <c r="P335" s="30"/>
      <c r="Q335" s="2"/>
      <c r="R335" s="2"/>
      <c r="S335" s="4"/>
      <c r="T335" s="4"/>
    </row>
    <row r="336" spans="1:20" ht="27">
      <c r="A336" s="1">
        <v>335</v>
      </c>
      <c r="B336" s="1" t="s">
        <v>553</v>
      </c>
      <c r="C336" s="1" t="s">
        <v>450</v>
      </c>
      <c r="D336" s="1">
        <f t="shared" si="11"/>
        <v>9</v>
      </c>
      <c r="E336" s="1" t="str">
        <f t="shared" si="10"/>
        <v>SFR-042-009</v>
      </c>
      <c r="F336" s="4" t="s">
        <v>129</v>
      </c>
      <c r="G336" s="2" t="s">
        <v>302</v>
      </c>
      <c r="H336" s="2"/>
      <c r="I336" s="30">
        <v>9</v>
      </c>
      <c r="J336" s="30">
        <v>1.1100000000000001</v>
      </c>
      <c r="K336" s="30"/>
      <c r="L336" s="2"/>
      <c r="M336" s="2"/>
      <c r="N336" s="2"/>
      <c r="O336" s="30" t="s">
        <v>160</v>
      </c>
      <c r="P336" s="30"/>
      <c r="Q336" s="2"/>
      <c r="R336" s="2"/>
      <c r="S336" s="4"/>
      <c r="T336" s="4"/>
    </row>
    <row r="337" spans="1:20" ht="27">
      <c r="A337" s="1">
        <v>336</v>
      </c>
      <c r="B337" s="1" t="s">
        <v>553</v>
      </c>
      <c r="C337" s="1" t="s">
        <v>450</v>
      </c>
      <c r="D337" s="1">
        <f t="shared" si="11"/>
        <v>10</v>
      </c>
      <c r="E337" s="1" t="str">
        <f t="shared" si="10"/>
        <v>SFR-042-010</v>
      </c>
      <c r="F337" s="4" t="s">
        <v>129</v>
      </c>
      <c r="G337" s="2" t="s">
        <v>621</v>
      </c>
      <c r="H337" s="2"/>
      <c r="I337" s="30"/>
      <c r="J337" s="30"/>
      <c r="K337" s="30" t="s">
        <v>481</v>
      </c>
      <c r="L337" s="2"/>
      <c r="M337" s="2"/>
      <c r="N337" s="2"/>
      <c r="O337" s="30" t="s">
        <v>160</v>
      </c>
      <c r="P337" s="30"/>
      <c r="Q337" s="2"/>
      <c r="R337" s="2"/>
      <c r="S337" s="4"/>
      <c r="T337" s="4"/>
    </row>
    <row r="338" spans="1:20">
      <c r="A338" s="1">
        <v>337</v>
      </c>
      <c r="B338" s="1" t="s">
        <v>553</v>
      </c>
      <c r="C338" s="1" t="s">
        <v>450</v>
      </c>
      <c r="D338" s="1">
        <f t="shared" si="11"/>
        <v>11</v>
      </c>
      <c r="E338" s="1" t="str">
        <f t="shared" si="10"/>
        <v>SFR-042-011</v>
      </c>
      <c r="F338" s="4" t="s">
        <v>129</v>
      </c>
      <c r="G338" s="2" t="s">
        <v>732</v>
      </c>
      <c r="H338" s="2"/>
      <c r="I338" s="30"/>
      <c r="J338" s="30"/>
      <c r="K338" s="30" t="s">
        <v>481</v>
      </c>
      <c r="L338" s="2"/>
      <c r="M338" s="2"/>
      <c r="N338" s="2"/>
      <c r="O338" s="30" t="s">
        <v>160</v>
      </c>
      <c r="P338" s="30"/>
      <c r="Q338" s="2"/>
      <c r="R338" s="2"/>
      <c r="S338" s="4"/>
      <c r="T338" s="4"/>
    </row>
    <row r="339" spans="1:20" ht="27">
      <c r="A339" s="1">
        <v>338</v>
      </c>
      <c r="B339" s="1" t="s">
        <v>553</v>
      </c>
      <c r="C339" s="1" t="s">
        <v>445</v>
      </c>
      <c r="D339" s="1">
        <f t="shared" si="11"/>
        <v>1</v>
      </c>
      <c r="E339" s="1" t="str">
        <f t="shared" si="10"/>
        <v>SFR-043-001</v>
      </c>
      <c r="F339" s="4" t="s">
        <v>676</v>
      </c>
      <c r="G339" s="2" t="s">
        <v>571</v>
      </c>
      <c r="H339" s="2" t="s">
        <v>181</v>
      </c>
      <c r="I339" s="30">
        <v>9</v>
      </c>
      <c r="J339" s="30">
        <v>1.1200000000000001</v>
      </c>
      <c r="K339" s="30"/>
      <c r="L339" s="2"/>
      <c r="M339" s="2"/>
      <c r="N339" s="2"/>
      <c r="O339" s="30" t="s">
        <v>160</v>
      </c>
      <c r="P339" s="30"/>
      <c r="Q339" s="2"/>
      <c r="R339" s="2"/>
      <c r="S339" s="4"/>
      <c r="T339" s="4"/>
    </row>
    <row r="340" spans="1:20" ht="67.5">
      <c r="A340" s="1">
        <v>339</v>
      </c>
      <c r="B340" s="1" t="s">
        <v>553</v>
      </c>
      <c r="C340" s="1" t="s">
        <v>445</v>
      </c>
      <c r="D340" s="1">
        <f t="shared" si="11"/>
        <v>2</v>
      </c>
      <c r="E340" s="1" t="str">
        <f t="shared" si="10"/>
        <v>SFR-043-002</v>
      </c>
      <c r="F340" s="4" t="s">
        <v>676</v>
      </c>
      <c r="G340" s="2" t="s">
        <v>305</v>
      </c>
      <c r="H340" s="2" t="s">
        <v>21</v>
      </c>
      <c r="I340" s="30">
        <v>9</v>
      </c>
      <c r="J340" s="30"/>
      <c r="K340" s="30" t="s">
        <v>481</v>
      </c>
      <c r="L340" s="2"/>
      <c r="M340" s="2"/>
      <c r="N340" s="2"/>
      <c r="O340" s="30" t="s">
        <v>160</v>
      </c>
      <c r="P340" s="30"/>
      <c r="Q340" s="2"/>
      <c r="R340" s="2"/>
      <c r="S340" s="4"/>
      <c r="T340" s="4"/>
    </row>
    <row r="341" spans="1:20" ht="40.5">
      <c r="A341" s="1">
        <v>340</v>
      </c>
      <c r="B341" s="1" t="s">
        <v>553</v>
      </c>
      <c r="C341" s="1" t="s">
        <v>445</v>
      </c>
      <c r="D341" s="1">
        <f t="shared" si="11"/>
        <v>3</v>
      </c>
      <c r="E341" s="1" t="str">
        <f t="shared" si="10"/>
        <v>SFR-043-003</v>
      </c>
      <c r="F341" s="4" t="s">
        <v>676</v>
      </c>
      <c r="G341" s="2" t="s">
        <v>305</v>
      </c>
      <c r="H341" s="2" t="s">
        <v>17</v>
      </c>
      <c r="I341" s="30">
        <v>9</v>
      </c>
      <c r="J341" s="30"/>
      <c r="K341" s="30"/>
      <c r="L341" s="2"/>
      <c r="M341" s="2"/>
      <c r="N341" s="2"/>
      <c r="O341" s="30" t="s">
        <v>160</v>
      </c>
      <c r="P341" s="30"/>
      <c r="Q341" s="2"/>
      <c r="R341" s="2"/>
      <c r="S341" s="4"/>
      <c r="T341" s="4"/>
    </row>
    <row r="342" spans="1:20" ht="94.5">
      <c r="A342" s="1">
        <v>341</v>
      </c>
      <c r="B342" s="1" t="s">
        <v>553</v>
      </c>
      <c r="C342" s="1" t="s">
        <v>445</v>
      </c>
      <c r="D342" s="1">
        <f t="shared" si="11"/>
        <v>4</v>
      </c>
      <c r="E342" s="1" t="str">
        <f t="shared" si="10"/>
        <v>SFR-043-004</v>
      </c>
      <c r="F342" s="4" t="s">
        <v>676</v>
      </c>
      <c r="G342" s="2" t="s">
        <v>305</v>
      </c>
      <c r="H342" s="2" t="s">
        <v>185</v>
      </c>
      <c r="I342" s="30">
        <v>9</v>
      </c>
      <c r="J342" s="30"/>
      <c r="K342" s="30"/>
      <c r="L342" s="2"/>
      <c r="M342" s="2"/>
      <c r="N342" s="2"/>
      <c r="O342" s="30" t="s">
        <v>160</v>
      </c>
      <c r="P342" s="30"/>
      <c r="Q342" s="2"/>
      <c r="R342" s="2"/>
      <c r="S342" s="4"/>
      <c r="T342" s="4"/>
    </row>
    <row r="343" spans="1:20" ht="40.5">
      <c r="A343" s="1">
        <v>342</v>
      </c>
      <c r="B343" s="1" t="s">
        <v>553</v>
      </c>
      <c r="C343" s="1" t="s">
        <v>445</v>
      </c>
      <c r="D343" s="1">
        <f t="shared" si="11"/>
        <v>5</v>
      </c>
      <c r="E343" s="1" t="str">
        <f t="shared" si="10"/>
        <v>SFR-043-005</v>
      </c>
      <c r="F343" s="4" t="s">
        <v>676</v>
      </c>
      <c r="G343" s="2" t="s">
        <v>604</v>
      </c>
      <c r="H343" s="2"/>
      <c r="I343" s="30">
        <v>9</v>
      </c>
      <c r="J343" s="30"/>
      <c r="K343" s="30"/>
      <c r="L343" s="2"/>
      <c r="M343" s="2"/>
      <c r="N343" s="2"/>
      <c r="O343" s="30" t="s">
        <v>160</v>
      </c>
      <c r="P343" s="30"/>
      <c r="Q343" s="2"/>
      <c r="R343" s="2"/>
      <c r="S343" s="4"/>
      <c r="T343" s="4"/>
    </row>
    <row r="344" spans="1:20" ht="27">
      <c r="A344" s="1">
        <v>343</v>
      </c>
      <c r="B344" s="1" t="s">
        <v>553</v>
      </c>
      <c r="C344" s="1" t="s">
        <v>445</v>
      </c>
      <c r="D344" s="1">
        <f t="shared" si="11"/>
        <v>6</v>
      </c>
      <c r="E344" s="1" t="str">
        <f t="shared" si="10"/>
        <v>SFR-043-006</v>
      </c>
      <c r="F344" s="4" t="s">
        <v>676</v>
      </c>
      <c r="G344" s="2" t="s">
        <v>620</v>
      </c>
      <c r="H344" s="2" t="s">
        <v>612</v>
      </c>
      <c r="I344" s="30">
        <v>9</v>
      </c>
      <c r="J344" s="30"/>
      <c r="K344" s="30"/>
      <c r="L344" s="2"/>
      <c r="M344" s="2"/>
      <c r="N344" s="2"/>
      <c r="O344" s="30" t="s">
        <v>160</v>
      </c>
      <c r="P344" s="30"/>
      <c r="Q344" s="2"/>
      <c r="R344" s="2"/>
      <c r="S344" s="4"/>
      <c r="T344" s="4"/>
    </row>
    <row r="345" spans="1:20" ht="40.5">
      <c r="A345" s="1">
        <v>344</v>
      </c>
      <c r="B345" s="1" t="s">
        <v>553</v>
      </c>
      <c r="C345" s="1" t="s">
        <v>445</v>
      </c>
      <c r="D345" s="1">
        <f t="shared" si="11"/>
        <v>7</v>
      </c>
      <c r="E345" s="1" t="str">
        <f t="shared" si="10"/>
        <v>SFR-043-007</v>
      </c>
      <c r="F345" s="4" t="s">
        <v>676</v>
      </c>
      <c r="G345" s="2" t="s">
        <v>620</v>
      </c>
      <c r="H345" s="2" t="s">
        <v>39</v>
      </c>
      <c r="I345" s="30">
        <v>9</v>
      </c>
      <c r="J345" s="30"/>
      <c r="K345" s="30"/>
      <c r="L345" s="2"/>
      <c r="M345" s="2"/>
      <c r="N345" s="2"/>
      <c r="O345" s="30" t="s">
        <v>160</v>
      </c>
      <c r="P345" s="30"/>
      <c r="Q345" s="2"/>
      <c r="R345" s="2"/>
      <c r="S345" s="4"/>
      <c r="T345" s="4"/>
    </row>
    <row r="346" spans="1:20" ht="40.5">
      <c r="A346" s="1">
        <v>345</v>
      </c>
      <c r="B346" s="1" t="s">
        <v>553</v>
      </c>
      <c r="C346" s="1" t="s">
        <v>445</v>
      </c>
      <c r="D346" s="1">
        <f t="shared" si="11"/>
        <v>8</v>
      </c>
      <c r="E346" s="1" t="str">
        <f t="shared" si="10"/>
        <v>SFR-043-008</v>
      </c>
      <c r="F346" s="4" t="s">
        <v>676</v>
      </c>
      <c r="G346" s="2" t="s">
        <v>620</v>
      </c>
      <c r="H346" s="2" t="s">
        <v>193</v>
      </c>
      <c r="I346" s="30">
        <v>9</v>
      </c>
      <c r="J346" s="30"/>
      <c r="K346" s="30"/>
      <c r="L346" s="2"/>
      <c r="M346" s="2"/>
      <c r="N346" s="2"/>
      <c r="O346" s="30" t="s">
        <v>160</v>
      </c>
      <c r="P346" s="30"/>
      <c r="Q346" s="2"/>
      <c r="R346" s="2"/>
      <c r="S346" s="4"/>
      <c r="T346" s="4"/>
    </row>
    <row r="347" spans="1:20" ht="27">
      <c r="A347" s="1">
        <v>346</v>
      </c>
      <c r="B347" s="1" t="s">
        <v>553</v>
      </c>
      <c r="C347" s="1" t="s">
        <v>445</v>
      </c>
      <c r="D347" s="1">
        <f t="shared" si="11"/>
        <v>9</v>
      </c>
      <c r="E347" s="1" t="str">
        <f t="shared" si="10"/>
        <v>SFR-043-009</v>
      </c>
      <c r="F347" s="4" t="s">
        <v>676</v>
      </c>
      <c r="G347" s="2" t="s">
        <v>720</v>
      </c>
      <c r="H347" s="2" t="s">
        <v>282</v>
      </c>
      <c r="I347" s="30">
        <v>9</v>
      </c>
      <c r="J347" s="30"/>
      <c r="K347" s="30"/>
      <c r="L347" s="2"/>
      <c r="M347" s="2"/>
      <c r="N347" s="2"/>
      <c r="O347" s="30" t="s">
        <v>160</v>
      </c>
      <c r="P347" s="30"/>
      <c r="Q347" s="2"/>
      <c r="R347" s="2"/>
      <c r="S347" s="4"/>
      <c r="T347" s="4"/>
    </row>
    <row r="348" spans="1:20" ht="27">
      <c r="A348" s="1">
        <v>347</v>
      </c>
      <c r="B348" s="1" t="s">
        <v>553</v>
      </c>
      <c r="C348" s="1" t="s">
        <v>445</v>
      </c>
      <c r="D348" s="1">
        <f t="shared" si="11"/>
        <v>10</v>
      </c>
      <c r="E348" s="1" t="str">
        <f t="shared" si="10"/>
        <v>SFR-043-010</v>
      </c>
      <c r="F348" s="4" t="s">
        <v>676</v>
      </c>
      <c r="G348" s="2" t="s">
        <v>587</v>
      </c>
      <c r="H348" s="2" t="s">
        <v>607</v>
      </c>
      <c r="I348" s="30">
        <v>9</v>
      </c>
      <c r="J348" s="30"/>
      <c r="K348" s="30"/>
      <c r="L348" s="2"/>
      <c r="M348" s="2"/>
      <c r="N348" s="2"/>
      <c r="O348" s="30" t="s">
        <v>160</v>
      </c>
      <c r="P348" s="30"/>
      <c r="Q348" s="2"/>
      <c r="R348" s="2"/>
      <c r="S348" s="4"/>
      <c r="T348" s="4"/>
    </row>
    <row r="349" spans="1:20" ht="27">
      <c r="A349" s="1">
        <v>348</v>
      </c>
      <c r="B349" s="1" t="s">
        <v>553</v>
      </c>
      <c r="C349" s="1" t="s">
        <v>445</v>
      </c>
      <c r="D349" s="1">
        <f t="shared" si="11"/>
        <v>11</v>
      </c>
      <c r="E349" s="1" t="str">
        <f t="shared" si="10"/>
        <v>SFR-043-011</v>
      </c>
      <c r="F349" s="4" t="s">
        <v>676</v>
      </c>
      <c r="G349" s="2" t="s">
        <v>587</v>
      </c>
      <c r="H349" s="2" t="s">
        <v>1183</v>
      </c>
      <c r="I349" s="30">
        <v>9</v>
      </c>
      <c r="J349" s="30"/>
      <c r="K349" s="30"/>
      <c r="L349" s="2"/>
      <c r="M349" s="2"/>
      <c r="N349" s="2"/>
      <c r="O349" s="30" t="s">
        <v>160</v>
      </c>
      <c r="P349" s="30"/>
      <c r="Q349" s="2"/>
      <c r="R349" s="2"/>
      <c r="S349" s="4"/>
      <c r="T349" s="4"/>
    </row>
    <row r="350" spans="1:20" ht="40.5">
      <c r="A350" s="1">
        <v>349</v>
      </c>
      <c r="B350" s="1" t="s">
        <v>553</v>
      </c>
      <c r="C350" s="1" t="s">
        <v>445</v>
      </c>
      <c r="D350" s="1">
        <f t="shared" si="11"/>
        <v>12</v>
      </c>
      <c r="E350" s="1" t="str">
        <f t="shared" si="10"/>
        <v>SFR-043-012</v>
      </c>
      <c r="F350" s="4" t="s">
        <v>676</v>
      </c>
      <c r="G350" s="2" t="s">
        <v>613</v>
      </c>
      <c r="H350" s="2" t="s">
        <v>189</v>
      </c>
      <c r="I350" s="30">
        <v>9</v>
      </c>
      <c r="J350" s="30"/>
      <c r="K350" s="30"/>
      <c r="L350" s="2"/>
      <c r="M350" s="2"/>
      <c r="N350" s="2"/>
      <c r="O350" s="30" t="s">
        <v>160</v>
      </c>
      <c r="P350" s="30"/>
      <c r="Q350" s="2"/>
      <c r="R350" s="2"/>
      <c r="S350" s="4"/>
      <c r="T350" s="4"/>
    </row>
    <row r="351" spans="1:20" ht="27">
      <c r="A351" s="1">
        <v>350</v>
      </c>
      <c r="B351" s="1" t="s">
        <v>553</v>
      </c>
      <c r="C351" s="1" t="s">
        <v>445</v>
      </c>
      <c r="D351" s="1">
        <f t="shared" si="11"/>
        <v>13</v>
      </c>
      <c r="E351" s="1" t="str">
        <f t="shared" si="10"/>
        <v>SFR-043-013</v>
      </c>
      <c r="F351" s="4" t="s">
        <v>676</v>
      </c>
      <c r="G351" s="2" t="s">
        <v>613</v>
      </c>
      <c r="H351" s="2" t="s">
        <v>585</v>
      </c>
      <c r="I351" s="30">
        <v>9</v>
      </c>
      <c r="J351" s="30"/>
      <c r="K351" s="30"/>
      <c r="L351" s="2"/>
      <c r="M351" s="2"/>
      <c r="N351" s="2"/>
      <c r="O351" s="30" t="s">
        <v>160</v>
      </c>
      <c r="P351" s="30"/>
      <c r="Q351" s="2"/>
      <c r="R351" s="2"/>
      <c r="S351" s="4"/>
      <c r="T351" s="4"/>
    </row>
    <row r="352" spans="1:20" ht="27">
      <c r="A352" s="1">
        <v>351</v>
      </c>
      <c r="B352" s="1" t="s">
        <v>553</v>
      </c>
      <c r="C352" s="1" t="s">
        <v>445</v>
      </c>
      <c r="D352" s="1">
        <f t="shared" si="11"/>
        <v>14</v>
      </c>
      <c r="E352" s="1" t="str">
        <f t="shared" si="10"/>
        <v>SFR-043-014</v>
      </c>
      <c r="F352" s="4" t="s">
        <v>676</v>
      </c>
      <c r="G352" s="2" t="s">
        <v>613</v>
      </c>
      <c r="H352" s="2" t="s">
        <v>581</v>
      </c>
      <c r="I352" s="30">
        <v>9</v>
      </c>
      <c r="J352" s="30"/>
      <c r="K352" s="30"/>
      <c r="L352" s="2"/>
      <c r="M352" s="2"/>
      <c r="N352" s="2"/>
      <c r="O352" s="30" t="s">
        <v>160</v>
      </c>
      <c r="P352" s="30"/>
      <c r="Q352" s="2"/>
      <c r="R352" s="2"/>
      <c r="S352" s="4"/>
      <c r="T352" s="4"/>
    </row>
    <row r="353" spans="1:20" ht="40.5">
      <c r="A353" s="1">
        <v>352</v>
      </c>
      <c r="B353" s="1" t="s">
        <v>553</v>
      </c>
      <c r="C353" s="1" t="s">
        <v>445</v>
      </c>
      <c r="D353" s="1">
        <f t="shared" si="11"/>
        <v>15</v>
      </c>
      <c r="E353" s="1" t="str">
        <f t="shared" si="10"/>
        <v>SFR-043-015</v>
      </c>
      <c r="F353" s="4" t="s">
        <v>676</v>
      </c>
      <c r="G353" s="2" t="s">
        <v>613</v>
      </c>
      <c r="H353" s="2" t="s">
        <v>329</v>
      </c>
      <c r="I353" s="30">
        <v>9</v>
      </c>
      <c r="J353" s="30"/>
      <c r="K353" s="30"/>
      <c r="L353" s="2"/>
      <c r="M353" s="2"/>
      <c r="N353" s="2"/>
      <c r="O353" s="30" t="s">
        <v>160</v>
      </c>
      <c r="P353" s="30"/>
      <c r="Q353" s="2"/>
      <c r="R353" s="2"/>
      <c r="S353" s="4"/>
      <c r="T353" s="4"/>
    </row>
    <row r="354" spans="1:20">
      <c r="A354" s="1">
        <v>353</v>
      </c>
      <c r="B354" s="1" t="s">
        <v>553</v>
      </c>
      <c r="C354" s="1" t="s">
        <v>445</v>
      </c>
      <c r="D354" s="1">
        <f t="shared" si="11"/>
        <v>16</v>
      </c>
      <c r="E354" s="1" t="str">
        <f t="shared" si="10"/>
        <v>SFR-043-016</v>
      </c>
      <c r="F354" s="4" t="s">
        <v>676</v>
      </c>
      <c r="G354" s="2" t="s">
        <v>68</v>
      </c>
      <c r="H354" s="2" t="s">
        <v>753</v>
      </c>
      <c r="I354" s="30">
        <v>9</v>
      </c>
      <c r="J354" s="30"/>
      <c r="K354" s="30"/>
      <c r="L354" s="2"/>
      <c r="M354" s="2"/>
      <c r="N354" s="2"/>
      <c r="O354" s="30" t="s">
        <v>160</v>
      </c>
      <c r="P354" s="30"/>
      <c r="Q354" s="2"/>
      <c r="R354" s="2"/>
      <c r="S354" s="4" t="s">
        <v>697</v>
      </c>
      <c r="T354" s="4"/>
    </row>
    <row r="355" spans="1:20">
      <c r="A355" s="1">
        <v>354</v>
      </c>
      <c r="B355" s="1" t="s">
        <v>553</v>
      </c>
      <c r="C355" s="1" t="s">
        <v>445</v>
      </c>
      <c r="D355" s="1">
        <f t="shared" si="11"/>
        <v>17</v>
      </c>
      <c r="E355" s="1" t="str">
        <f t="shared" si="10"/>
        <v>SFR-043-017</v>
      </c>
      <c r="F355" s="4" t="s">
        <v>676</v>
      </c>
      <c r="G355" s="2" t="s">
        <v>68</v>
      </c>
      <c r="H355" s="2" t="s">
        <v>64</v>
      </c>
      <c r="I355" s="30">
        <v>9</v>
      </c>
      <c r="J355" s="30"/>
      <c r="K355" s="30"/>
      <c r="L355" s="2"/>
      <c r="M355" s="2"/>
      <c r="N355" s="2"/>
      <c r="O355" s="30" t="s">
        <v>160</v>
      </c>
      <c r="P355" s="30"/>
      <c r="Q355" s="2"/>
      <c r="R355" s="2"/>
      <c r="S355" s="4"/>
      <c r="T355" s="4"/>
    </row>
    <row r="356" spans="1:20" ht="27">
      <c r="A356" s="1">
        <v>355</v>
      </c>
      <c r="B356" s="1" t="s">
        <v>553</v>
      </c>
      <c r="C356" s="1" t="s">
        <v>445</v>
      </c>
      <c r="D356" s="1">
        <f t="shared" si="11"/>
        <v>18</v>
      </c>
      <c r="E356" s="1" t="str">
        <f t="shared" si="10"/>
        <v>SFR-043-018</v>
      </c>
      <c r="F356" s="4" t="s">
        <v>676</v>
      </c>
      <c r="G356" s="2" t="s">
        <v>68</v>
      </c>
      <c r="H356" s="2" t="s">
        <v>2</v>
      </c>
      <c r="I356" s="30">
        <v>9</v>
      </c>
      <c r="J356" s="30"/>
      <c r="K356" s="30"/>
      <c r="L356" s="2"/>
      <c r="M356" s="2"/>
      <c r="N356" s="2"/>
      <c r="O356" s="30" t="s">
        <v>160</v>
      </c>
      <c r="P356" s="30"/>
      <c r="Q356" s="2"/>
      <c r="R356" s="2"/>
      <c r="S356" s="4"/>
      <c r="T356" s="4"/>
    </row>
    <row r="357" spans="1:20">
      <c r="A357" s="1">
        <v>356</v>
      </c>
      <c r="B357" s="1" t="s">
        <v>553</v>
      </c>
      <c r="C357" s="1" t="s">
        <v>445</v>
      </c>
      <c r="D357" s="1">
        <f t="shared" si="11"/>
        <v>19</v>
      </c>
      <c r="E357" s="1" t="str">
        <f t="shared" si="10"/>
        <v>SFR-043-019</v>
      </c>
      <c r="F357" s="4" t="s">
        <v>676</v>
      </c>
      <c r="G357" s="2" t="s">
        <v>68</v>
      </c>
      <c r="H357" s="2" t="s">
        <v>719</v>
      </c>
      <c r="I357" s="30"/>
      <c r="J357" s="30"/>
      <c r="K357" s="30" t="s">
        <v>481</v>
      </c>
      <c r="L357" s="2"/>
      <c r="M357" s="2"/>
      <c r="N357" s="2"/>
      <c r="O357" s="30" t="s">
        <v>160</v>
      </c>
      <c r="P357" s="30"/>
      <c r="Q357" s="2"/>
      <c r="R357" s="2"/>
      <c r="S357" s="4"/>
      <c r="T357" s="4"/>
    </row>
    <row r="358" spans="1:20" ht="40.5">
      <c r="A358" s="1">
        <v>357</v>
      </c>
      <c r="B358" s="1" t="s">
        <v>553</v>
      </c>
      <c r="C358" s="1" t="s">
        <v>536</v>
      </c>
      <c r="D358" s="1">
        <f t="shared" si="11"/>
        <v>1</v>
      </c>
      <c r="E358" s="1" t="str">
        <f t="shared" si="10"/>
        <v>SFR-044-001</v>
      </c>
      <c r="F358" s="4" t="s">
        <v>664</v>
      </c>
      <c r="G358" s="2" t="s">
        <v>761</v>
      </c>
      <c r="H358" s="2" t="s">
        <v>82</v>
      </c>
      <c r="I358" s="30">
        <v>9</v>
      </c>
      <c r="J358" s="30"/>
      <c r="K358" s="30"/>
      <c r="L358" s="2"/>
      <c r="M358" s="2"/>
      <c r="N358" s="2"/>
      <c r="O358" s="30" t="s">
        <v>160</v>
      </c>
      <c r="P358" s="30"/>
      <c r="Q358" s="2"/>
      <c r="R358" s="2"/>
      <c r="S358" s="4" t="s">
        <v>471</v>
      </c>
      <c r="T358" s="4"/>
    </row>
    <row r="359" spans="1:20" ht="27">
      <c r="A359" s="1">
        <v>358</v>
      </c>
      <c r="B359" s="1" t="s">
        <v>553</v>
      </c>
      <c r="C359" s="1" t="s">
        <v>536</v>
      </c>
      <c r="D359" s="1">
        <f t="shared" si="11"/>
        <v>2</v>
      </c>
      <c r="E359" s="1" t="str">
        <f t="shared" si="10"/>
        <v>SFR-044-002</v>
      </c>
      <c r="F359" s="4" t="s">
        <v>664</v>
      </c>
      <c r="G359" s="2" t="s">
        <v>761</v>
      </c>
      <c r="H359" s="2" t="s">
        <v>358</v>
      </c>
      <c r="I359" s="30"/>
      <c r="J359" s="30"/>
      <c r="K359" s="30" t="s">
        <v>481</v>
      </c>
      <c r="L359" s="2"/>
      <c r="M359" s="2"/>
      <c r="N359" s="2"/>
      <c r="O359" s="30" t="s">
        <v>160</v>
      </c>
      <c r="P359" s="30"/>
      <c r="Q359" s="2"/>
      <c r="R359" s="2"/>
      <c r="S359" s="4"/>
      <c r="T359" s="4"/>
    </row>
    <row r="360" spans="1:20" ht="27">
      <c r="A360" s="1">
        <v>359</v>
      </c>
      <c r="B360" s="1" t="s">
        <v>553</v>
      </c>
      <c r="C360" s="1" t="s">
        <v>536</v>
      </c>
      <c r="D360" s="1">
        <f t="shared" si="11"/>
        <v>3</v>
      </c>
      <c r="E360" s="1" t="str">
        <f t="shared" si="10"/>
        <v>SFR-044-003</v>
      </c>
      <c r="F360" s="4" t="s">
        <v>664</v>
      </c>
      <c r="G360" s="2" t="s">
        <v>761</v>
      </c>
      <c r="H360" s="2" t="s">
        <v>266</v>
      </c>
      <c r="I360" s="30"/>
      <c r="J360" s="30"/>
      <c r="K360" s="30" t="s">
        <v>481</v>
      </c>
      <c r="L360" s="2"/>
      <c r="M360" s="2"/>
      <c r="N360" s="2"/>
      <c r="O360" s="30" t="s">
        <v>160</v>
      </c>
      <c r="P360" s="30"/>
      <c r="Q360" s="2"/>
      <c r="R360" s="2"/>
      <c r="S360" s="4"/>
      <c r="T360" s="4"/>
    </row>
    <row r="361" spans="1:20" ht="27">
      <c r="A361" s="1">
        <v>360</v>
      </c>
      <c r="B361" s="1" t="s">
        <v>553</v>
      </c>
      <c r="C361" s="1" t="s">
        <v>536</v>
      </c>
      <c r="D361" s="1">
        <f t="shared" si="11"/>
        <v>4</v>
      </c>
      <c r="E361" s="1" t="str">
        <f t="shared" si="10"/>
        <v>SFR-044-004</v>
      </c>
      <c r="F361" s="4" t="s">
        <v>664</v>
      </c>
      <c r="G361" s="2" t="s">
        <v>761</v>
      </c>
      <c r="H361" s="2" t="s">
        <v>276</v>
      </c>
      <c r="I361" s="30"/>
      <c r="J361" s="30"/>
      <c r="K361" s="30" t="s">
        <v>481</v>
      </c>
      <c r="L361" s="2"/>
      <c r="M361" s="2"/>
      <c r="N361" s="2"/>
      <c r="O361" s="30" t="s">
        <v>160</v>
      </c>
      <c r="P361" s="30"/>
      <c r="Q361" s="2"/>
      <c r="R361" s="2"/>
      <c r="S361" s="4"/>
      <c r="T361" s="4"/>
    </row>
    <row r="362" spans="1:20" ht="27">
      <c r="A362" s="1">
        <v>361</v>
      </c>
      <c r="B362" s="1" t="s">
        <v>553</v>
      </c>
      <c r="C362" s="1" t="s">
        <v>536</v>
      </c>
      <c r="D362" s="1">
        <f t="shared" si="11"/>
        <v>5</v>
      </c>
      <c r="E362" s="1" t="str">
        <f t="shared" si="10"/>
        <v>SFR-044-005</v>
      </c>
      <c r="F362" s="4" t="s">
        <v>664</v>
      </c>
      <c r="G362" s="2" t="s">
        <v>761</v>
      </c>
      <c r="H362" s="2" t="s">
        <v>1</v>
      </c>
      <c r="I362" s="30"/>
      <c r="J362" s="30"/>
      <c r="K362" s="30" t="s">
        <v>481</v>
      </c>
      <c r="L362" s="2"/>
      <c r="M362" s="2"/>
      <c r="N362" s="2"/>
      <c r="O362" s="30" t="s">
        <v>160</v>
      </c>
      <c r="P362" s="30"/>
      <c r="Q362" s="2"/>
      <c r="R362" s="2"/>
      <c r="S362" s="4"/>
      <c r="T362" s="4"/>
    </row>
    <row r="363" spans="1:20" ht="27">
      <c r="A363" s="1">
        <v>362</v>
      </c>
      <c r="B363" s="1" t="s">
        <v>553</v>
      </c>
      <c r="C363" s="1" t="s">
        <v>536</v>
      </c>
      <c r="D363" s="1">
        <f t="shared" si="11"/>
        <v>6</v>
      </c>
      <c r="E363" s="1" t="str">
        <f t="shared" si="10"/>
        <v>SFR-044-006</v>
      </c>
      <c r="F363" s="4" t="s">
        <v>664</v>
      </c>
      <c r="G363" s="2" t="s">
        <v>761</v>
      </c>
      <c r="H363" s="2" t="s">
        <v>273</v>
      </c>
      <c r="I363" s="30">
        <v>9</v>
      </c>
      <c r="J363" s="30"/>
      <c r="K363" s="30"/>
      <c r="L363" s="2"/>
      <c r="M363" s="2"/>
      <c r="N363" s="2"/>
      <c r="O363" s="30" t="s">
        <v>160</v>
      </c>
      <c r="P363" s="30"/>
      <c r="Q363" s="2"/>
      <c r="R363" s="2"/>
      <c r="S363" s="4"/>
      <c r="T363" s="4"/>
    </row>
    <row r="364" spans="1:20" ht="27">
      <c r="A364" s="1">
        <v>363</v>
      </c>
      <c r="B364" s="1" t="s">
        <v>553</v>
      </c>
      <c r="C364" s="1" t="s">
        <v>536</v>
      </c>
      <c r="D364" s="1">
        <f t="shared" si="11"/>
        <v>7</v>
      </c>
      <c r="E364" s="1" t="str">
        <f t="shared" si="10"/>
        <v>SFR-044-007</v>
      </c>
      <c r="F364" s="4" t="s">
        <v>664</v>
      </c>
      <c r="G364" s="2" t="s">
        <v>761</v>
      </c>
      <c r="H364" s="2" t="s">
        <v>203</v>
      </c>
      <c r="I364" s="30">
        <v>9</v>
      </c>
      <c r="J364" s="30"/>
      <c r="K364" s="30"/>
      <c r="L364" s="2"/>
      <c r="M364" s="2"/>
      <c r="N364" s="2"/>
      <c r="O364" s="30" t="s">
        <v>160</v>
      </c>
      <c r="P364" s="30"/>
      <c r="Q364" s="2"/>
      <c r="R364" s="2"/>
      <c r="S364" s="4"/>
      <c r="T364" s="4"/>
    </row>
    <row r="365" spans="1:20" ht="27">
      <c r="A365" s="1">
        <v>364</v>
      </c>
      <c r="B365" s="1" t="s">
        <v>553</v>
      </c>
      <c r="C365" s="1" t="s">
        <v>536</v>
      </c>
      <c r="D365" s="1">
        <f t="shared" si="11"/>
        <v>8</v>
      </c>
      <c r="E365" s="1" t="str">
        <f t="shared" si="10"/>
        <v>SFR-044-008</v>
      </c>
      <c r="F365" s="4" t="s">
        <v>664</v>
      </c>
      <c r="G365" s="2" t="s">
        <v>625</v>
      </c>
      <c r="H365" s="2" t="s">
        <v>181</v>
      </c>
      <c r="I365" s="30">
        <v>9</v>
      </c>
      <c r="J365" s="30"/>
      <c r="K365" s="30"/>
      <c r="L365" s="2"/>
      <c r="M365" s="2"/>
      <c r="N365" s="2"/>
      <c r="O365" s="30" t="s">
        <v>160</v>
      </c>
      <c r="P365" s="30"/>
      <c r="Q365" s="2"/>
      <c r="R365" s="2"/>
      <c r="S365" s="4"/>
      <c r="T365" s="4"/>
    </row>
    <row r="366" spans="1:20" ht="27">
      <c r="A366" s="1">
        <v>365</v>
      </c>
      <c r="B366" s="1" t="s">
        <v>553</v>
      </c>
      <c r="C366" s="1" t="s">
        <v>536</v>
      </c>
      <c r="D366" s="1">
        <f t="shared" si="11"/>
        <v>9</v>
      </c>
      <c r="E366" s="1" t="str">
        <f t="shared" si="10"/>
        <v>SFR-044-009</v>
      </c>
      <c r="F366" s="4" t="s">
        <v>664</v>
      </c>
      <c r="G366" s="2" t="s">
        <v>625</v>
      </c>
      <c r="H366" s="2" t="s">
        <v>436</v>
      </c>
      <c r="I366" s="30"/>
      <c r="J366" s="30"/>
      <c r="K366" s="30" t="s">
        <v>481</v>
      </c>
      <c r="L366" s="2"/>
      <c r="M366" s="2"/>
      <c r="N366" s="2"/>
      <c r="O366" s="30" t="s">
        <v>160</v>
      </c>
      <c r="P366" s="30"/>
      <c r="Q366" s="2"/>
      <c r="R366" s="2"/>
      <c r="S366" s="4"/>
      <c r="T366" s="4"/>
    </row>
    <row r="367" spans="1:20" ht="27">
      <c r="A367" s="1">
        <v>366</v>
      </c>
      <c r="B367" s="1" t="s">
        <v>553</v>
      </c>
      <c r="C367" s="1" t="s">
        <v>536</v>
      </c>
      <c r="D367" s="1">
        <f t="shared" si="11"/>
        <v>10</v>
      </c>
      <c r="E367" s="1" t="str">
        <f t="shared" si="10"/>
        <v>SFR-044-010</v>
      </c>
      <c r="F367" s="4" t="s">
        <v>664</v>
      </c>
      <c r="G367" s="2" t="s">
        <v>625</v>
      </c>
      <c r="H367" s="2" t="s">
        <v>177</v>
      </c>
      <c r="I367" s="30">
        <v>9</v>
      </c>
      <c r="J367" s="30"/>
      <c r="K367" s="30"/>
      <c r="L367" s="2"/>
      <c r="M367" s="2"/>
      <c r="N367" s="2"/>
      <c r="O367" s="30" t="s">
        <v>160</v>
      </c>
      <c r="P367" s="30"/>
      <c r="Q367" s="2"/>
      <c r="R367" s="2"/>
      <c r="S367" s="4"/>
      <c r="T367" s="4"/>
    </row>
    <row r="368" spans="1:20" ht="27">
      <c r="A368" s="1">
        <v>367</v>
      </c>
      <c r="B368" s="1" t="s">
        <v>553</v>
      </c>
      <c r="C368" s="1" t="s">
        <v>536</v>
      </c>
      <c r="D368" s="1">
        <f t="shared" si="11"/>
        <v>11</v>
      </c>
      <c r="E368" s="1" t="str">
        <f t="shared" si="10"/>
        <v>SFR-044-011</v>
      </c>
      <c r="F368" s="4" t="s">
        <v>664</v>
      </c>
      <c r="G368" s="2" t="s">
        <v>618</v>
      </c>
      <c r="H368" s="2"/>
      <c r="I368" s="30">
        <v>9</v>
      </c>
      <c r="J368" s="30"/>
      <c r="K368" s="30"/>
      <c r="L368" s="2"/>
      <c r="M368" s="2"/>
      <c r="N368" s="2"/>
      <c r="O368" s="30" t="s">
        <v>160</v>
      </c>
      <c r="P368" s="30"/>
      <c r="Q368" s="2"/>
      <c r="R368" s="2"/>
      <c r="S368" s="4"/>
      <c r="T368" s="4"/>
    </row>
    <row r="369" spans="1:20" ht="40.5">
      <c r="A369" s="1">
        <v>368</v>
      </c>
      <c r="B369" s="1" t="s">
        <v>553</v>
      </c>
      <c r="C369" s="1" t="s">
        <v>565</v>
      </c>
      <c r="D369" s="1">
        <f t="shared" si="11"/>
        <v>1</v>
      </c>
      <c r="E369" s="1" t="str">
        <f t="shared" si="10"/>
        <v>SFR-045-001</v>
      </c>
      <c r="F369" s="4" t="s">
        <v>689</v>
      </c>
      <c r="G369" s="2" t="s">
        <v>332</v>
      </c>
      <c r="H369" s="2"/>
      <c r="I369" s="30">
        <v>9</v>
      </c>
      <c r="J369" s="30"/>
      <c r="K369" s="30"/>
      <c r="L369" s="2"/>
      <c r="M369" s="2"/>
      <c r="N369" s="2"/>
      <c r="O369" s="30" t="s">
        <v>160</v>
      </c>
      <c r="P369" s="30"/>
      <c r="Q369" s="2"/>
      <c r="R369" s="2"/>
      <c r="S369" s="4" t="s">
        <v>142</v>
      </c>
      <c r="T369" s="4"/>
    </row>
    <row r="370" spans="1:20" ht="40.5">
      <c r="A370" s="1">
        <v>369</v>
      </c>
      <c r="B370" s="1" t="s">
        <v>553</v>
      </c>
      <c r="C370" s="1" t="s">
        <v>565</v>
      </c>
      <c r="D370" s="1">
        <f t="shared" si="11"/>
        <v>2</v>
      </c>
      <c r="E370" s="1" t="str">
        <f t="shared" si="10"/>
        <v>SFR-045-002</v>
      </c>
      <c r="F370" s="4" t="s">
        <v>689</v>
      </c>
      <c r="G370" s="2" t="s">
        <v>321</v>
      </c>
      <c r="H370" s="2"/>
      <c r="I370" s="30">
        <v>9</v>
      </c>
      <c r="J370" s="30"/>
      <c r="K370" s="30"/>
      <c r="L370" s="2"/>
      <c r="M370" s="2"/>
      <c r="N370" s="2"/>
      <c r="O370" s="30" t="s">
        <v>160</v>
      </c>
      <c r="P370" s="30"/>
      <c r="Q370" s="2"/>
      <c r="R370" s="4"/>
      <c r="S370" s="4" t="s">
        <v>142</v>
      </c>
      <c r="T370" s="4"/>
    </row>
    <row r="371" spans="1:20" ht="27">
      <c r="A371" s="1">
        <v>370</v>
      </c>
      <c r="B371" s="1" t="s">
        <v>553</v>
      </c>
      <c r="C371" s="1" t="s">
        <v>565</v>
      </c>
      <c r="D371" s="1">
        <f t="shared" si="11"/>
        <v>3</v>
      </c>
      <c r="E371" s="1" t="str">
        <f t="shared" si="10"/>
        <v>SFR-045-003</v>
      </c>
      <c r="F371" s="4" t="s">
        <v>689</v>
      </c>
      <c r="G371" s="2" t="s">
        <v>234</v>
      </c>
      <c r="H371" s="2"/>
      <c r="I371" s="30">
        <v>9</v>
      </c>
      <c r="J371" s="30"/>
      <c r="K371" s="30"/>
      <c r="L371" s="2"/>
      <c r="M371" s="2"/>
      <c r="N371" s="2"/>
      <c r="O371" s="30" t="s">
        <v>160</v>
      </c>
      <c r="P371" s="30"/>
      <c r="Q371" s="2"/>
      <c r="R371" s="4"/>
      <c r="S371" s="4" t="s">
        <v>142</v>
      </c>
      <c r="T371" s="4"/>
    </row>
    <row r="372" spans="1:20" ht="40.5">
      <c r="A372" s="1">
        <v>371</v>
      </c>
      <c r="B372" s="1" t="s">
        <v>553</v>
      </c>
      <c r="C372" s="1" t="s">
        <v>565</v>
      </c>
      <c r="D372" s="1">
        <f t="shared" si="11"/>
        <v>4</v>
      </c>
      <c r="E372" s="1" t="str">
        <f t="shared" si="10"/>
        <v>SFR-045-004</v>
      </c>
      <c r="F372" s="4" t="s">
        <v>689</v>
      </c>
      <c r="G372" s="2" t="s">
        <v>323</v>
      </c>
      <c r="H372" s="2"/>
      <c r="I372" s="30">
        <v>9</v>
      </c>
      <c r="J372" s="30"/>
      <c r="K372" s="30"/>
      <c r="L372" s="2"/>
      <c r="M372" s="2"/>
      <c r="N372" s="2"/>
      <c r="O372" s="30" t="s">
        <v>160</v>
      </c>
      <c r="P372" s="30"/>
      <c r="Q372" s="2"/>
      <c r="R372" s="4"/>
      <c r="S372" s="4" t="s">
        <v>142</v>
      </c>
      <c r="T372" s="4"/>
    </row>
    <row r="373" spans="1:20">
      <c r="A373" s="1">
        <v>372</v>
      </c>
      <c r="B373" s="1" t="s">
        <v>553</v>
      </c>
      <c r="C373" s="1" t="s">
        <v>565</v>
      </c>
      <c r="D373" s="1">
        <f t="shared" si="11"/>
        <v>5</v>
      </c>
      <c r="E373" s="1" t="str">
        <f t="shared" si="10"/>
        <v>SFR-045-005</v>
      </c>
      <c r="F373" s="4" t="s">
        <v>689</v>
      </c>
      <c r="G373" s="2" t="s">
        <v>754</v>
      </c>
      <c r="H373" s="2"/>
      <c r="I373" s="30"/>
      <c r="J373" s="30"/>
      <c r="K373" s="30" t="s">
        <v>481</v>
      </c>
      <c r="L373" s="2"/>
      <c r="M373" s="2"/>
      <c r="N373" s="2"/>
      <c r="O373" s="30" t="s">
        <v>160</v>
      </c>
      <c r="P373" s="30"/>
      <c r="Q373" s="2"/>
      <c r="R373" s="4"/>
      <c r="S373" s="4" t="s">
        <v>142</v>
      </c>
      <c r="T373" s="4"/>
    </row>
    <row r="374" spans="1:20" ht="27">
      <c r="A374" s="1">
        <v>373</v>
      </c>
      <c r="B374" s="1" t="s">
        <v>553</v>
      </c>
      <c r="C374" s="1" t="s">
        <v>565</v>
      </c>
      <c r="D374" s="1">
        <f t="shared" si="11"/>
        <v>6</v>
      </c>
      <c r="E374" s="1" t="str">
        <f t="shared" si="10"/>
        <v>SFR-045-006</v>
      </c>
      <c r="F374" s="4" t="s">
        <v>689</v>
      </c>
      <c r="G374" s="2" t="s">
        <v>580</v>
      </c>
      <c r="H374" s="2"/>
      <c r="I374" s="30">
        <v>9</v>
      </c>
      <c r="J374" s="30"/>
      <c r="K374" s="30"/>
      <c r="L374" s="2"/>
      <c r="M374" s="2"/>
      <c r="N374" s="2"/>
      <c r="O374" s="30" t="s">
        <v>160</v>
      </c>
      <c r="P374" s="30"/>
      <c r="Q374" s="2"/>
      <c r="R374" s="4"/>
      <c r="S374" s="4" t="s">
        <v>142</v>
      </c>
      <c r="T374" s="4"/>
    </row>
    <row r="375" spans="1:20" ht="27">
      <c r="A375" s="1">
        <v>374</v>
      </c>
      <c r="B375" s="1" t="s">
        <v>553</v>
      </c>
      <c r="C375" s="1" t="s">
        <v>565</v>
      </c>
      <c r="D375" s="1">
        <f t="shared" si="11"/>
        <v>7</v>
      </c>
      <c r="E375" s="1" t="str">
        <f t="shared" si="10"/>
        <v>SFR-045-007</v>
      </c>
      <c r="F375" s="4" t="s">
        <v>689</v>
      </c>
      <c r="G375" s="2" t="s">
        <v>29</v>
      </c>
      <c r="H375" s="2"/>
      <c r="I375" s="30">
        <v>9</v>
      </c>
      <c r="J375" s="30"/>
      <c r="K375" s="30"/>
      <c r="L375" s="2"/>
      <c r="M375" s="2"/>
      <c r="N375" s="2"/>
      <c r="O375" s="30" t="s">
        <v>160</v>
      </c>
      <c r="P375" s="30"/>
      <c r="Q375" s="2"/>
      <c r="R375" s="4"/>
      <c r="S375" s="4" t="s">
        <v>142</v>
      </c>
      <c r="T375" s="4"/>
    </row>
    <row r="376" spans="1:20" ht="27">
      <c r="A376" s="1">
        <v>375</v>
      </c>
      <c r="B376" s="1" t="s">
        <v>553</v>
      </c>
      <c r="C376" s="1" t="s">
        <v>565</v>
      </c>
      <c r="D376" s="1">
        <f t="shared" si="11"/>
        <v>8</v>
      </c>
      <c r="E376" s="1" t="str">
        <f t="shared" si="10"/>
        <v>SFR-045-008</v>
      </c>
      <c r="F376" s="4" t="s">
        <v>689</v>
      </c>
      <c r="G376" s="2" t="s">
        <v>576</v>
      </c>
      <c r="H376" s="2"/>
      <c r="I376" s="30">
        <v>9</v>
      </c>
      <c r="J376" s="30"/>
      <c r="K376" s="30"/>
      <c r="L376" s="2"/>
      <c r="M376" s="2"/>
      <c r="N376" s="2"/>
      <c r="O376" s="30" t="s">
        <v>160</v>
      </c>
      <c r="P376" s="30"/>
      <c r="Q376" s="2"/>
      <c r="R376" s="4"/>
      <c r="S376" s="4" t="s">
        <v>142</v>
      </c>
      <c r="T376" s="4"/>
    </row>
    <row r="377" spans="1:20" ht="27">
      <c r="A377" s="1">
        <v>376</v>
      </c>
      <c r="B377" s="1" t="s">
        <v>553</v>
      </c>
      <c r="C377" s="1" t="s">
        <v>565</v>
      </c>
      <c r="D377" s="1">
        <f t="shared" si="11"/>
        <v>9</v>
      </c>
      <c r="E377" s="1" t="str">
        <f t="shared" si="10"/>
        <v>SFR-045-009</v>
      </c>
      <c r="F377" s="4" t="s">
        <v>689</v>
      </c>
      <c r="G377" s="2" t="s">
        <v>32</v>
      </c>
      <c r="H377" s="2"/>
      <c r="I377" s="30">
        <v>9</v>
      </c>
      <c r="J377" s="30"/>
      <c r="K377" s="30"/>
      <c r="L377" s="2"/>
      <c r="M377" s="2"/>
      <c r="N377" s="2"/>
      <c r="O377" s="30" t="s">
        <v>160</v>
      </c>
      <c r="P377" s="30"/>
      <c r="Q377" s="2"/>
      <c r="R377" s="4"/>
      <c r="S377" s="4" t="s">
        <v>142</v>
      </c>
      <c r="T377" s="4"/>
    </row>
  </sheetData>
  <autoFilter ref="A1:T377"/>
  <customSheetViews>
    <customSheetView guid="{2940EC69-0E40-4162-8549-ED35AA338A49}" showGridLines="0" fitToPage="1" showAutoFilter="1" hiddenColumns="1" state="hidden">
      <pane ySplit="1" topLeftCell="A95" activePane="bottomLeft" state="frozen"/>
      <selection pane="bottomLeft" activeCell="E6" sqref="E6"/>
      <pageMargins left="0.69972223043441772" right="0.69972223043441772" top="0.75" bottom="0.75" header="0.30000001192092896" footer="0.30000001192092896"/>
      <pageSetup paperSize="9" scale="35" fitToHeight="0" orientation="landscape" verticalDpi="0"/>
      <autoFilter ref="A1:T377"/>
    </customSheetView>
    <customSheetView guid="{795AB5AE-C53F-4700-AA4F-485409291E6B}" showGridLines="0" fitToPage="1" showAutoFilter="1" hiddenColumns="1" state="hidden">
      <pane ySplit="1" topLeftCell="A95" activePane="bottomLeft" state="frozen"/>
      <selection pane="bottomLeft" activeCell="E6" sqref="E6"/>
      <pageMargins left="0.69972223043441772" right="0.69972223043441772" top="0.75" bottom="0.75" header="0.30000001192092896" footer="0.30000001192092896"/>
      <pageSetup paperSize="9" scale="35" fitToHeight="0" orientation="landscape" verticalDpi="0"/>
      <autoFilter ref="A1:T377"/>
    </customSheetView>
    <customSheetView guid="{C0B3E00A-6A64-4A32-8796-BF55C9AAD4EA}" showGridLines="0" fitToPage="1" showAutoFilter="1" hiddenColumns="1" state="hidden">
      <pane ySplit="1" topLeftCell="A95" activePane="bottomLeft" state="frozen"/>
      <selection pane="bottomLeft" activeCell="E6" sqref="E6"/>
      <pageMargins left="0.69972223043441772" right="0.69972223043441772" top="0.75" bottom="0.75" header="0.30000001192092896" footer="0.30000001192092896"/>
      <pageSetup paperSize="9" scale="35" fitToHeight="0" orientation="landscape" verticalDpi="0"/>
      <autoFilter ref="A1:T377"/>
    </customSheetView>
    <customSheetView guid="{EB4CA770-1436-4E3D-889F-30E34BABACCC}" showGridLines="0" fitToPage="1" showAutoFilter="1" hiddenColumns="1" state="hidden">
      <pane ySplit="1" topLeftCell="A95" activePane="bottomLeft" state="frozen"/>
      <selection pane="bottomLeft" activeCell="E6" sqref="E6"/>
      <pageMargins left="0.69972223043441772" right="0.69972223043441772" top="0.75" bottom="0.75" header="0.30000001192092896" footer="0.30000001192092896"/>
      <pageSetup paperSize="9" scale="35" fitToHeight="0" orientation="landscape" verticalDpi="0"/>
      <autoFilter ref="A1:T377"/>
    </customSheetView>
    <customSheetView guid="{2A8CFD2D-F9CC-4306-8A26-A82C68617360}" showGridLines="0" fitToPage="1" showAutoFilter="1" hiddenColumns="1" state="hidden">
      <pane ySplit="1" topLeftCell="A95" activePane="bottomLeft" state="frozen"/>
      <selection pane="bottomLeft" activeCell="E6" sqref="E6"/>
      <pageMargins left="0.69972223043441772" right="0.69972223043441772" top="0.75" bottom="0.75" header="0.30000001192092896" footer="0.30000001192092896"/>
      <pageSetup paperSize="9" scale="35" fitToHeight="0" orientation="landscape" verticalDpi="0"/>
      <autoFilter ref="A1:T377"/>
    </customSheetView>
    <customSheetView guid="{70346E6A-FAEE-4C37-A89C-D6DC7354E054}" showGridLines="0" fitToPage="1" showAutoFilter="1" hiddenColumns="1" state="hidden">
      <pane ySplit="1" topLeftCell="A95" activePane="bottomLeft" state="frozen"/>
      <selection pane="bottomLeft" activeCell="E6" sqref="E6"/>
      <pageMargins left="0.69972223043441772" right="0.69972223043441772" top="0.75" bottom="0.75" header="0.30000001192092896" footer="0.30000001192092896"/>
      <pageSetup paperSize="9" scale="35" fitToHeight="0" orientation="landscape" verticalDpi="0"/>
      <autoFilter ref="A1:T377"/>
    </customSheetView>
  </customSheetViews>
  <phoneticPr fontId="13" type="noConversion"/>
  <dataValidations count="1">
    <dataValidation type="list" allowBlank="1" showInputMessage="1" showErrorMessage="1" sqref="K2:K377">
      <formula1>"결정완료,해당없음"</formula1>
    </dataValidation>
  </dataValidations>
  <hyperlinks>
    <hyperlink ref="S107" r:id="rId1"/>
    <hyperlink ref="S239" r:id="rId2"/>
  </hyperlinks>
  <pageMargins left="0.69972223043441772" right="0.69972223043441772" top="0.75" bottom="0.75" header="0.30000001192092896" footer="0.30000001192092896"/>
  <pageSetup paperSize="9" scale="35" fitToHeight="0" orientation="landscape" verticalDpi="0"/>
</worksheet>
</file>

<file path=docProps/app.xml><?xml version="1.0" encoding="utf-8"?>
<Properties xmlns="http://schemas.openxmlformats.org/officeDocument/2006/extended-properties" xmlns:vt="http://schemas.openxmlformats.org/officeDocument/2006/docPropsVTypes">
  <TotalTime>864</TotalTime>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표지</vt:lpstr>
      <vt:lpstr>문서 개정이력</vt:lpstr>
      <vt:lpstr>컬럼정의서</vt:lpstr>
      <vt:lpstr>별첨.표준화지침</vt:lpstr>
      <vt:lpstr>기능요구사항 (2)</vt:lpstr>
      <vt:lpstr>OpenAPI</vt:lpstr>
      <vt:lpstr>외부연계</vt:lpstr>
      <vt:lpstr>온나라연계</vt:lpstr>
      <vt:lpstr>엑셀업로드</vt:lpstr>
      <vt:lpstr>연계대상(OpenAPI)</vt:lpstr>
      <vt:lpstr>입력시기(시행령)</vt:lpstr>
      <vt:lpstr>1.기능요구사항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민계선</dc:creator>
  <cp:lastModifiedBy>admin</cp:lastModifiedBy>
  <cp:revision>218</cp:revision>
  <cp:lastPrinted>2023-01-19T01:52:17Z</cp:lastPrinted>
  <dcterms:created xsi:type="dcterms:W3CDTF">2022-10-17T05:47:54Z</dcterms:created>
  <dcterms:modified xsi:type="dcterms:W3CDTF">2023-06-09T05:12:07Z</dcterms:modified>
  <cp:version>1000.0100.01</cp:version>
</cp:coreProperties>
</file>